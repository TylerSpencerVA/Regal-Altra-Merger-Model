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Regal Rexnord Merger Model/Phase 1/"/>
    </mc:Choice>
  </mc:AlternateContent>
  <xr:revisionPtr revIDLastSave="15" documentId="8_{4C72FDA3-60AE-484D-8E50-36D17CC7BC36}" xr6:coauthVersionLast="47" xr6:coauthVersionMax="47" xr10:uidLastSave="{7C775194-8F38-4053-AC8D-E7023C9FAB0C}"/>
  <bookViews>
    <workbookView xWindow="-108" yWindow="-108" windowWidth="23256" windowHeight="12456" xr2:uid="{ED01E787-7A93-4D2F-BFD9-5C680CB11E48}"/>
  </bookViews>
  <sheets>
    <sheet name="Cover" sheetId="1" r:id="rId1"/>
    <sheet name="Summary" sheetId="2" r:id="rId2"/>
    <sheet name="Assumptions" sheetId="3" r:id="rId3"/>
    <sheet name="Pro Forma BS" sheetId="5" r:id="rId4"/>
    <sheet name="Accretion Dilution" sheetId="6" r:id="rId5"/>
    <sheet name="Shares" sheetId="8" r:id="rId6"/>
    <sheet name="Data Sources" sheetId="9" r:id="rId7"/>
  </sheets>
  <definedNames>
    <definedName name="_xlnm.Print_Area" localSheetId="4">'Accretion Dilution'!$A$1:$Q$76</definedName>
    <definedName name="_xlnm.Print_Area" localSheetId="2">Assumptions!$A$2:$O$67</definedName>
    <definedName name="_xlnm.Print_Area" localSheetId="0">Cover!$A$1:$P$40</definedName>
    <definedName name="_xlnm.Print_Area" localSheetId="6">'Data Sources'!$A$1:$C$51</definedName>
    <definedName name="_xlnm.Print_Area" localSheetId="3">'Pro Forma BS'!$A$1:$O$50</definedName>
    <definedName name="_xlnm.Print_Area" localSheetId="5">Shares!$A$2:$O$21</definedName>
    <definedName name="_xlnm.Print_Area" localSheetId="1">Summary!$A$1:$O$27</definedName>
    <definedName name="_xlnm.Print_Titles" localSheetId="4">'Accretion Dilution'!$2:$4</definedName>
    <definedName name="_xlnm.Print_Titles" localSheetId="2">Assumptions!$2:$4</definedName>
    <definedName name="_xlnm.Print_Titles" localSheetId="3">'Pro Forma BS'!$2:$7</definedName>
    <definedName name="_xlnm.Print_Titles" localSheetId="5">Shares!$2:$4</definedName>
    <definedName name="_xlnm.Print_Titles" localSheetId="1">Summary!$2:$4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5" l="1"/>
  <c r="C44" i="5"/>
  <c r="J61" i="3"/>
  <c r="J60" i="3"/>
  <c r="K65" i="6"/>
  <c r="K66" i="6" s="1"/>
  <c r="K63" i="6"/>
  <c r="K62" i="6" s="1"/>
  <c r="O61" i="6"/>
  <c r="P61" i="6" s="1"/>
  <c r="M61" i="6"/>
  <c r="L61" i="6" s="1"/>
  <c r="C65" i="6"/>
  <c r="C66" i="6" s="1"/>
  <c r="C63" i="6"/>
  <c r="C62" i="6" s="1"/>
  <c r="G61" i="6"/>
  <c r="H61" i="6" s="1"/>
  <c r="E61" i="6"/>
  <c r="D61" i="6" s="1"/>
  <c r="C56" i="6"/>
  <c r="C57" i="6" s="1"/>
  <c r="C54" i="6"/>
  <c r="C53" i="6" s="1"/>
  <c r="G52" i="6"/>
  <c r="H52" i="6" s="1"/>
  <c r="E52" i="6"/>
  <c r="D52" i="6" s="1"/>
  <c r="C74" i="6"/>
  <c r="C75" i="6" s="1"/>
  <c r="C72" i="6"/>
  <c r="C71" i="6" s="1"/>
  <c r="G70" i="6"/>
  <c r="H70" i="6" s="1"/>
  <c r="E70" i="6"/>
  <c r="D70" i="6" s="1"/>
  <c r="K74" i="6"/>
  <c r="K75" i="6" s="1"/>
  <c r="K72" i="6"/>
  <c r="K71" i="6" s="1"/>
  <c r="O70" i="6"/>
  <c r="P70" i="6" s="1"/>
  <c r="M70" i="6"/>
  <c r="L70" i="6" s="1"/>
  <c r="O29" i="6"/>
  <c r="O28" i="6"/>
  <c r="O27" i="6"/>
  <c r="O26" i="6"/>
  <c r="O23" i="6"/>
  <c r="O20" i="6"/>
  <c r="O16" i="6"/>
  <c r="O12" i="6"/>
  <c r="O37" i="6" s="1"/>
  <c r="L10" i="2" s="1"/>
  <c r="I44" i="5"/>
  <c r="H44" i="5"/>
  <c r="H46" i="5" s="1"/>
  <c r="J65" i="3"/>
  <c r="J64" i="3"/>
  <c r="J63" i="3"/>
  <c r="J62" i="3"/>
  <c r="N12" i="6"/>
  <c r="M24" i="6"/>
  <c r="M23" i="6"/>
  <c r="M20" i="6"/>
  <c r="N20" i="6"/>
  <c r="K56" i="6"/>
  <c r="K57" i="6" s="1"/>
  <c r="K54" i="6"/>
  <c r="K53" i="6" s="1"/>
  <c r="O52" i="6"/>
  <c r="P52" i="6" s="1"/>
  <c r="M52" i="6"/>
  <c r="L52" i="6" s="1"/>
  <c r="M37" i="6"/>
  <c r="J10" i="2" s="1"/>
  <c r="M16" i="6"/>
  <c r="M12" i="6"/>
  <c r="B2" i="2"/>
  <c r="H26" i="3"/>
  <c r="E7" i="2" s="1"/>
  <c r="H42" i="3"/>
  <c r="H56" i="3"/>
  <c r="E17" i="2" s="1"/>
  <c r="H62" i="3"/>
  <c r="N22" i="6" s="1"/>
  <c r="N37" i="6"/>
  <c r="K10" i="2" s="1"/>
  <c r="N16" i="6"/>
  <c r="O22" i="6" l="1"/>
  <c r="H25" i="3"/>
  <c r="E9" i="2" s="1"/>
  <c r="M22" i="6"/>
  <c r="B2" i="6"/>
  <c r="I39" i="5"/>
  <c r="I38" i="5"/>
  <c r="I37" i="5"/>
  <c r="I36" i="5"/>
  <c r="H39" i="5"/>
  <c r="H38" i="5"/>
  <c r="H37" i="5"/>
  <c r="H36" i="5"/>
  <c r="L11" i="5"/>
  <c r="N11" i="5" s="1"/>
  <c r="N28" i="5"/>
  <c r="N37" i="5" s="1"/>
  <c r="N27" i="5"/>
  <c r="N38" i="5" s="1"/>
  <c r="N24" i="5"/>
  <c r="N20" i="5"/>
  <c r="N10" i="5"/>
  <c r="N9" i="5"/>
  <c r="L25" i="5"/>
  <c r="L23" i="5"/>
  <c r="L22" i="5"/>
  <c r="N22" i="5" s="1"/>
  <c r="L15" i="5"/>
  <c r="N28" i="3"/>
  <c r="N43" i="3" s="1"/>
  <c r="I16" i="5"/>
  <c r="I17" i="5" s="1"/>
  <c r="I21" i="5"/>
  <c r="N36" i="3"/>
  <c r="N44" i="3" s="1"/>
  <c r="I26" i="5"/>
  <c r="H26" i="5"/>
  <c r="H21" i="5"/>
  <c r="H16" i="5"/>
  <c r="H12" i="5"/>
  <c r="I7" i="5"/>
  <c r="H7" i="5"/>
  <c r="B2" i="5"/>
  <c r="H33" i="3"/>
  <c r="H32" i="3"/>
  <c r="J8" i="8"/>
  <c r="I18" i="8" s="1"/>
  <c r="I20" i="8" s="1"/>
  <c r="J10" i="8" s="1"/>
  <c r="N8" i="8"/>
  <c r="M18" i="8" s="1"/>
  <c r="M20" i="8" s="1"/>
  <c r="N10" i="8" s="1"/>
  <c r="K7" i="8"/>
  <c r="G7" i="8"/>
  <c r="B2" i="8"/>
  <c r="K14" i="5" l="1"/>
  <c r="N14" i="5" s="1"/>
  <c r="N39" i="3"/>
  <c r="K13" i="5"/>
  <c r="N13" i="5" s="1"/>
  <c r="N31" i="3"/>
  <c r="H30" i="5"/>
  <c r="I46" i="5"/>
  <c r="H17" i="5"/>
  <c r="N21" i="5"/>
  <c r="N26" i="5"/>
  <c r="I30" i="5"/>
  <c r="I31" i="5" s="1"/>
  <c r="N12" i="5"/>
  <c r="H40" i="5"/>
  <c r="N44" i="5"/>
  <c r="N45" i="5" s="1"/>
  <c r="I40" i="5"/>
  <c r="N38" i="3"/>
  <c r="N30" i="3"/>
  <c r="N47" i="3"/>
  <c r="N18" i="8"/>
  <c r="N20" i="8" s="1"/>
  <c r="N11" i="8" s="1"/>
  <c r="J18" i="8"/>
  <c r="J20" i="8" s="1"/>
  <c r="J11" i="8" s="1"/>
  <c r="J15" i="8" s="1"/>
  <c r="H50" i="3"/>
  <c r="N18" i="3" s="1"/>
  <c r="H43" i="3"/>
  <c r="H29" i="3"/>
  <c r="E8" i="2" s="1"/>
  <c r="H31" i="5" l="1"/>
  <c r="H21" i="3"/>
  <c r="H27" i="3" s="1"/>
  <c r="I42" i="5"/>
  <c r="I49" i="5" s="1"/>
  <c r="N8" i="3"/>
  <c r="N51" i="3"/>
  <c r="N15" i="8"/>
  <c r="H12" i="3" l="1"/>
  <c r="H13" i="3" s="1"/>
  <c r="N42" i="5"/>
  <c r="H42" i="5"/>
  <c r="N52" i="3"/>
  <c r="N54" i="3" s="1"/>
  <c r="K25" i="5"/>
  <c r="N25" i="5" s="1"/>
  <c r="E11" i="2"/>
  <c r="E12" i="2" s="1"/>
  <c r="I18" i="2"/>
  <c r="K18" i="2" s="1"/>
  <c r="L18" i="2" s="1"/>
  <c r="H31" i="3"/>
  <c r="O34" i="6" s="1"/>
  <c r="L8" i="2" s="1"/>
  <c r="E10" i="2"/>
  <c r="H45" i="3"/>
  <c r="N7" i="3" s="1"/>
  <c r="H46" i="3"/>
  <c r="H47" i="3" s="1"/>
  <c r="I43" i="5"/>
  <c r="I48" i="5" s="1"/>
  <c r="H61" i="3"/>
  <c r="N19" i="3" s="1"/>
  <c r="L29" i="5" s="1"/>
  <c r="N55" i="3"/>
  <c r="N56" i="3" s="1"/>
  <c r="N17" i="3"/>
  <c r="N10" i="3"/>
  <c r="N16" i="3"/>
  <c r="B2" i="3"/>
  <c r="K29" i="5" l="1"/>
  <c r="N29" i="5" s="1"/>
  <c r="N34" i="6"/>
  <c r="K8" i="2" s="1"/>
  <c r="M34" i="6"/>
  <c r="J8" i="2" s="1"/>
  <c r="H49" i="5"/>
  <c r="H43" i="5"/>
  <c r="H48" i="5" s="1"/>
  <c r="K15" i="5"/>
  <c r="N15" i="5" s="1"/>
  <c r="I17" i="2"/>
  <c r="K17" i="2" s="1"/>
  <c r="L17" i="2" s="1"/>
  <c r="N9" i="3"/>
  <c r="L8" i="5" s="1"/>
  <c r="M21" i="6" s="1"/>
  <c r="H54" i="3"/>
  <c r="N11" i="3" s="1"/>
  <c r="K23" i="5" s="1"/>
  <c r="M19" i="6" s="1"/>
  <c r="N21" i="6" l="1"/>
  <c r="O21" i="6"/>
  <c r="N19" i="6"/>
  <c r="O19" i="6"/>
  <c r="N8" i="5"/>
  <c r="N39" i="5" s="1"/>
  <c r="H55" i="3"/>
  <c r="O25" i="6" s="1"/>
  <c r="H51" i="3"/>
  <c r="E16" i="2" s="1"/>
  <c r="N12" i="3"/>
  <c r="N20" i="3"/>
  <c r="N21" i="3" s="1"/>
  <c r="N23" i="5"/>
  <c r="N36" i="5" s="1"/>
  <c r="E18" i="2" s="1"/>
  <c r="O30" i="6" l="1"/>
  <c r="O31" i="6" s="1"/>
  <c r="O33" i="6" s="1"/>
  <c r="O36" i="6" s="1"/>
  <c r="M25" i="6"/>
  <c r="M30" i="6" s="1"/>
  <c r="M31" i="6" s="1"/>
  <c r="M33" i="6" s="1"/>
  <c r="J7" i="2" s="1"/>
  <c r="J9" i="2" s="1"/>
  <c r="J11" i="2" s="1"/>
  <c r="N30" i="6"/>
  <c r="N31" i="6" s="1"/>
  <c r="N33" i="6" s="1"/>
  <c r="K7" i="2" s="1"/>
  <c r="K9" i="2" s="1"/>
  <c r="K11" i="2" s="1"/>
  <c r="N30" i="5"/>
  <c r="K16" i="5"/>
  <c r="N16" i="5" s="1"/>
  <c r="N17" i="5" s="1"/>
  <c r="N22" i="3"/>
  <c r="N40" i="5"/>
  <c r="E21" i="2" s="1"/>
  <c r="N49" i="5"/>
  <c r="N46" i="5"/>
  <c r="E20" i="2" s="1"/>
  <c r="N47" i="5"/>
  <c r="O38" i="6" l="1"/>
  <c r="C23" i="1" s="1"/>
  <c r="L7" i="2"/>
  <c r="L9" i="2" s="1"/>
  <c r="L11" i="2" s="1"/>
  <c r="K12" i="2"/>
  <c r="K13" i="2"/>
  <c r="J12" i="2"/>
  <c r="J13" i="2"/>
  <c r="M36" i="6"/>
  <c r="M38" i="6" s="1"/>
  <c r="C21" i="1" s="1"/>
  <c r="N36" i="6"/>
  <c r="N38" i="6" s="1"/>
  <c r="N43" i="5"/>
  <c r="N48" i="5" s="1"/>
  <c r="E19" i="2"/>
  <c r="N31" i="5"/>
  <c r="C70" i="6" l="1"/>
  <c r="O39" i="6"/>
  <c r="D23" i="1" s="1"/>
  <c r="O40" i="6"/>
  <c r="K70" i="6"/>
  <c r="L12" i="2"/>
  <c r="L13" i="2"/>
  <c r="C61" i="6"/>
  <c r="K61" i="6"/>
  <c r="K52" i="6"/>
  <c r="C52" i="6"/>
  <c r="M40" i="6"/>
  <c r="C22" i="1"/>
  <c r="N40" i="6"/>
  <c r="B21" i="1"/>
  <c r="B22" i="1"/>
  <c r="N39" i="6"/>
  <c r="B23" i="1" s="1"/>
  <c r="M39" i="6"/>
  <c r="D21" i="1" s="1"/>
  <c r="D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E12" authorId="0" shapeId="0" xr:uid="{6783CEE7-EF62-4500-AE4B-EE9313292004}">
      <text>
        <r>
          <rPr>
            <b/>
            <sz val="9"/>
            <color indexed="81"/>
            <rFont val="Tahoma"/>
            <family val="2"/>
          </rPr>
          <t>Tyler S:
12.71x = offer EV $4,936.9mm (E11) / Altra FY2022 Non-GAAP Adjusted EBITDA of $388.5mm (Assumptions!N61), disclosed in Altra's Q4 2022 earnings release and on the same footing as Regal's (both add back stock comp).
Reconciles to the announced ~13.1x: the deal was struck 10/26/22 on LTM Q3 2022, not FY2022. LTM through Q3 2022 = $388.5 less Q4 2022 $96.2 plus Q4 2021 $87.2 = $379.5mm; $4,936.9mm / $379.5mm = 13.01x (13.04x vs. management's stated ~$4.95bn). Both round to 13.1x within EV rounding. Inference from published quarters, not a disclosure.</t>
        </r>
      </text>
    </comment>
    <comment ref="J17" authorId="0" shapeId="0" xr:uid="{E6CF6666-2133-48FD-B651-8F7FBF77EED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Disclosed goodwill per merger disclosure: $2,614.6mm</t>
        </r>
      </text>
    </comment>
    <comment ref="J18" authorId="0" shapeId="0" xr:uid="{321A828D-0FCE-40F9-9C8E-167B0300899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Announced transaction equity value: ~$4.11bn</t>
        </r>
      </text>
    </comment>
    <comment ref="E22" authorId="0" shapeId="0" xr:uid="{49A33F84-5D1D-46E2-8BEF-5C7D32C3887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Regal Rexnord, Altra acquisition completion press release (Mar 27, 2023) &amp; Oct 27, 2022 investor presentation (SEC 8-K, EX-99.2). Target net debt/adj. EBITDA of 2.5x-3.0x in 2024, &lt;2.5x thereafter; ~3.9x at close (50% synergy credit). https://investors.regalrexnord.com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11" authorId="0" shapeId="0" xr:uid="{CFC0FDB3-CFD6-4691-B9B3-85368101F3F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Market close 02/24/23</t>
        </r>
      </text>
    </comment>
    <comment ref="H25" authorId="0" shapeId="0" xr:uid="{73CCBD87-71A9-4030-B3B7-4B3C1EDB83E5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unaffected share price Source: Yahoo finance, October 27, 2022. Included in source documents</t>
        </r>
      </text>
    </comment>
    <comment ref="H26" authorId="0" shapeId="0" xr:uid="{0A09C866-4C86-4C65-9064-697F04938E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Yahoo finance, October 27, 2022. Included in source documents</t>
        </r>
      </text>
    </comment>
    <comment ref="H52" authorId="0" shapeId="0" xr:uid="{818B47AE-FA03-4BED-9201-46BE9B1C42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Principal-weighted average tenor of the four note tranches, RRX 8-K 1/24/23</t>
        </r>
      </text>
    </comment>
    <comment ref="H53" authorId="0" shapeId="0" xr:uid="{F6D19A44-CF93-43D4-9276-61AED7F1553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Implied from $4,700mm gross vs. ~$4,647mm net proceeds, RRX 8-K 1/24/23</t>
        </r>
      </text>
    </comment>
    <comment ref="H56" authorId="0" shapeId="0" xr:uid="{87148D15-460D-46AC-A057-B7D86BDACE7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Principal-weighted average coupon, RRX 8-K 1/9/23. Applied to the full $4,891.7mm including term loan borrowings; term loan priced off SOFR at comparable all-in levels in early 2023.</t>
        </r>
      </text>
    </comment>
    <comment ref="H57" authorId="0" shapeId="0" xr:uid="{D3A482C5-FAC8-45C5-8FFF-680843822D8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Estimate. Assumed yield earned on cash.</t>
        </r>
      </text>
    </comment>
    <comment ref="H60" authorId="0" shapeId="0" xr:uid="{EE289677-FE6A-43A6-9F63-65764DB2937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Estimate. RRX recorded $14.7mm of transaction costs in 2022; the $86.9mm was 2023 and not knowable at modeling date.</t>
        </r>
      </text>
    </comment>
    <comment ref="N60" authorId="0" shapeId="0" xr:uid="{16786EF6-7DCC-4E7D-987D-159D99FDF84E}">
      <text>
        <r>
          <rPr>
            <b/>
            <sz val="9"/>
            <color indexed="81"/>
            <rFont val="Tahoma"/>
            <family val="2"/>
          </rPr>
          <t>Tyler S:
$1,111.7mm = Regal Rexnord adjusted EBITDA per the Net Income to Adjusted EBITDA reconciliation in the Q4 2022 earnings release, 2/1/23.</t>
        </r>
      </text>
    </comment>
    <comment ref="N61" authorId="0" shapeId="0" xr:uid="{F91CAF59-7288-4DD2-B1E6-174AC81A4794}">
      <text>
        <r>
          <rPr>
            <b/>
            <sz val="9"/>
            <color indexed="81"/>
            <rFont val="Tahoma"/>
            <family val="2"/>
          </rPr>
          <t>Tyler S:
$388.5mm = Altra FY2022 Non-GAAP Adjusted EBITDA, disclosed directly in the Q4 2022 earnings release (Reconciliation of Non-GAAP Adjusted EBITDA, Year Ended 12/31/2022). Build ties from net income $127.0mm + FX/other $2.1 + impairment $13.2 + tax $62.3 + interest $51.5 + depreciation $39.0 + acq. amortization $55.2 + acq. expenses $10.6 + stock comp $15.3 + restructuring $5.2 + consolidation $1.7 + inventory FV step-up $2.4 + customer accommodation $3.0 = $388.5mm. On the same footing as Regal's (both add back stock compensation).
Reconciliation to the announced ~13.1x target multiple: deal announced 10/26/22, so management struck it on LTM Q3 2022, not FY2022. LTM through Q3 2022 = FY2022 $388.5 less Q4 2022 $96.2 plus Q4 2021 $87.2 = $379.5mm. Against the $4,936.9mm offer EV that is 13.01x; against management's stated ~$4.95bn it is 13.04x — both round to 13.1x within EV rounding. This is an inference from published quarters, not a disclosure.
Timing note: this release is dated 3/1/2023 4:47pm ET — after the close on the 3/1/2023 modeling date, and postdates the $149.66 RRX price from 2/24/2023. Clears the ex-ante rule, but only just.
Source: Altra Industrial Motion Q4 &amp; FY2022 earnings release, dated 3/1/2023, uploaded 9/9/26.</t>
        </r>
      </text>
    </comment>
    <comment ref="N62" authorId="0" shapeId="0" xr:uid="{5453EF49-B7E3-4AE8-A67B-46C599553C3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RRX 10-K, Note 5, printed p.77</t>
        </r>
      </text>
    </comment>
    <comment ref="H63" authorId="0" shapeId="0" xr:uid="{7EA1AA3E-6981-4082-B50E-56DD35450D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Used to calculated incremental DTL's to account for Altra's FDII credits from overseas operations</t>
        </r>
      </text>
    </comment>
    <comment ref="N63" authorId="0" shapeId="0" xr:uid="{7947A51F-6D9F-4514-9294-A0A49F30C5F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Altra 10-K, cash flow statement</t>
        </r>
      </text>
    </comment>
    <comment ref="N64" authorId="0" shapeId="0" xr:uid="{F3E73BFA-C964-4C13-BA36-966FC5EE33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RRX 10-K, Note 15, printed p.105</t>
        </r>
      </text>
    </comment>
    <comment ref="N65" authorId="0" shapeId="0" xr:uid="{97330178-C29F-4C1B-994E-16D1FF3979A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Source: RRX 10-K MD&amp;A, printed p.66 ($14.7 Altra + $4.3 Rexnord)</t>
        </r>
      </text>
    </comment>
    <comment ref="H66" authorId="0" shapeId="0" xr:uid="{3781452B-9FFE-49DC-9B7C-346C18CDE85B}">
      <text>
        <r>
          <rPr>
            <b/>
            <sz val="9"/>
            <color indexed="81"/>
            <rFont val="Tahoma"/>
            <family val="2"/>
          </rPr>
          <t>Source: Altra Industrial Motion FY2022 10-K (Altra 2022 10-K.pdf), Consolidated Statement of Earnings, 'Interest expense, net' = $51.5mm for FY2022 (p.48; also MD&amp;A p.50). Verified against uploaded filing.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12" authorId="0" shapeId="0" xr:uid="{70E77C59-0DE4-48F5-9D32-A58AC5C995C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prepaid expenses, deferred financing fees, and assets held for sale</t>
        </r>
      </text>
    </comment>
    <comment ref="H16" authorId="0" shapeId="0" xr:uid="{0E1A8DDC-2DE8-437D-8452-BD8AC19DA6B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other noncurrent assets and operating lease assets</t>
        </r>
      </text>
    </comment>
    <comment ref="I16" authorId="0" shapeId="0" xr:uid="{DC2F42A9-68A8-4553-9ACA-E93E8D6AE9B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Deferred income taxes, other non-current assets, and operating lease right of use assets</t>
        </r>
      </text>
    </comment>
    <comment ref="H21" authorId="0" shapeId="0" xr:uid="{E47886D8-23C8-4857-8C0A-B8CFCB52BD6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dividends payable, other accrued expenses,, accrued compensation and benefits, and current operating lease liabilities</t>
        </r>
      </text>
    </comment>
    <comment ref="I21" authorId="0" shapeId="0" xr:uid="{71A1FE0E-C763-4B51-A5F7-914BDA88EA7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accrued payroll, accrual and other current liabilities, liabilities held for sales, and operating lease liabilities.</t>
        </r>
      </text>
    </comment>
    <comment ref="H26" authorId="0" shapeId="0" xr:uid="{05B0FA17-5251-4BE6-AE7A-53C28956133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pension and other post retirement benefits, noncurrent operating lease liabilities, and other noncurrent liabilities.</t>
        </r>
      </text>
    </comment>
    <comment ref="I26" authorId="0" shapeId="0" xr:uid="{3D9D0768-ECF9-4DF5-AB77-79655D48BD0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Consolidated pension liabilities, long term taxes payable, other long term liabilities, and operating lease liabilities, net of current portion.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N36" authorId="0" shapeId="0" xr:uid="{7CF60FF1-E816-453A-938D-2D3623AB2A7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This is not an adjusted EPS figure and deviates from managements adjusted cash EPS</t>
        </r>
      </text>
    </comment>
    <comment ref="E45" authorId="0" shapeId="0" xr:uid="{90A4C541-20FB-48CD-B738-A1CFA217D35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Assumptions inputs set here to accommodate data tables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B18" authorId="0" shapeId="0" xr:uid="{89236A16-EEE7-490F-8580-8A91A347108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Neither company provides tranche by tranche data. Options are consolidated by a weighted average.</t>
        </r>
      </text>
    </comment>
  </commentList>
</comments>
</file>

<file path=xl/sharedStrings.xml><?xml version="1.0" encoding="utf-8"?>
<sst xmlns="http://schemas.openxmlformats.org/spreadsheetml/2006/main" count="345" uniqueCount="290">
  <si>
    <t>By: Tyler Spencer</t>
  </si>
  <si>
    <t xml:space="preserve">Regal Rexnord - Altra </t>
  </si>
  <si>
    <t>Accretion Dilution Model</t>
  </si>
  <si>
    <t>Assumptions</t>
  </si>
  <si>
    <t>TARGET</t>
  </si>
  <si>
    <t>DEAL STRUCTURE</t>
  </si>
  <si>
    <t>FINANCING</t>
  </si>
  <si>
    <t>OTHER ASSUMPTIONS</t>
  </si>
  <si>
    <t>SOURCES</t>
  </si>
  <si>
    <t>USES</t>
  </si>
  <si>
    <t>PURCHASE PRICE ALLOCATION</t>
  </si>
  <si>
    <t>Name</t>
  </si>
  <si>
    <t>Ticker</t>
  </si>
  <si>
    <t>Latest filing date</t>
  </si>
  <si>
    <t>Current share price</t>
  </si>
  <si>
    <t>Diluted shares outstanding (MM)</t>
  </si>
  <si>
    <t>Equity value</t>
  </si>
  <si>
    <t>% Offer premium</t>
  </si>
  <si>
    <t>Offer price per share</t>
  </si>
  <si>
    <t>Offer value</t>
  </si>
  <si>
    <t>% Stock</t>
  </si>
  <si>
    <t>% Cash</t>
  </si>
  <si>
    <t>Tax structure</t>
  </si>
  <si>
    <t>Acquirer available cash</t>
  </si>
  <si>
    <t>Acquirer new borrowing</t>
  </si>
  <si>
    <t>Acquirer excess cash used</t>
  </si>
  <si>
    <t>% of total acquirer cash balance</t>
  </si>
  <si>
    <t>Treatment of target debt</t>
  </si>
  <si>
    <t>Target debt outstanding</t>
  </si>
  <si>
    <t>Debt to be refinanced</t>
  </si>
  <si>
    <t>Total acquisition financing</t>
  </si>
  <si>
    <t>Term of loan (years)</t>
  </si>
  <si>
    <t>Financing fees</t>
  </si>
  <si>
    <t>Annual financing fee amortization</t>
  </si>
  <si>
    <t>Interest rate on new debt</t>
  </si>
  <si>
    <t>Interest earned on cash</t>
  </si>
  <si>
    <t>Deal fees as % of offer value</t>
  </si>
  <si>
    <t>Deal fees</t>
  </si>
  <si>
    <t>Acquirer tax rate</t>
  </si>
  <si>
    <t>Target tax rate</t>
  </si>
  <si>
    <t>ASSET ADJUSTMENTS</t>
  </si>
  <si>
    <t>Nominal exchange ratio</t>
  </si>
  <si>
    <t>Actual exchange ratio</t>
  </si>
  <si>
    <t>Acquirer shares issued (MM)</t>
  </si>
  <si>
    <t>Financing fees as % of financing</t>
  </si>
  <si>
    <t>% Cash consideration from excess cash</t>
  </si>
  <si>
    <t>% Cash consideration from debt</t>
  </si>
  <si>
    <t>ACQUIRER</t>
  </si>
  <si>
    <t>Regal Rexnord Corporation</t>
  </si>
  <si>
    <t>RRX</t>
  </si>
  <si>
    <t>10-K</t>
  </si>
  <si>
    <t>Altra Industrial Motion Corp</t>
  </si>
  <si>
    <t>AIMC</t>
  </si>
  <si>
    <t>Shares</t>
  </si>
  <si>
    <t>Target</t>
  </si>
  <si>
    <t>Acquirer</t>
  </si>
  <si>
    <t>Basic shares outstanding (most recent filing)</t>
  </si>
  <si>
    <t>+ Additional shares from options</t>
  </si>
  <si>
    <t>- Shares repurchased under treasury stock method</t>
  </si>
  <si>
    <t>+ Unvested RSUs</t>
  </si>
  <si>
    <t>+ Additional shares from convertible debt</t>
  </si>
  <si>
    <t>+ Additional shares from convertible stock</t>
  </si>
  <si>
    <t>Diluted shares outstanding</t>
  </si>
  <si>
    <t>Options</t>
  </si>
  <si>
    <t>Include?</t>
  </si>
  <si>
    <t>Proceeds</t>
  </si>
  <si>
    <t>Tranche 1</t>
  </si>
  <si>
    <t>Tranche 2</t>
  </si>
  <si>
    <t>Total</t>
  </si>
  <si>
    <t># Outstanding</t>
  </si>
  <si>
    <t>Strike Price</t>
  </si>
  <si>
    <t># Exercisable</t>
  </si>
  <si>
    <t>(In millions, except per share data)</t>
  </si>
  <si>
    <t>Refinanced</t>
  </si>
  <si>
    <t>Unaffected share price (10/26/22)</t>
  </si>
  <si>
    <t>New borrowing to acquire target</t>
  </si>
  <si>
    <t>New borrowing to refinance target debt</t>
  </si>
  <si>
    <t>Cash used to acquire target</t>
  </si>
  <si>
    <t>Value of stock issued to acquire target</t>
  </si>
  <si>
    <t>Total sources</t>
  </si>
  <si>
    <t>Stock to target</t>
  </si>
  <si>
    <t>Cash to target</t>
  </si>
  <si>
    <t>Target debt refinanced</t>
  </si>
  <si>
    <t>Deal fees (advisory, legal, and accounting)</t>
  </si>
  <si>
    <t>Financing fees (related to acq debt)</t>
  </si>
  <si>
    <t>Total Uses</t>
  </si>
  <si>
    <t>Do sources equal uses?</t>
  </si>
  <si>
    <t>Target assets - book value</t>
  </si>
  <si>
    <t>Plus: PP&amp;E write ups</t>
  </si>
  <si>
    <t>Plus: Intangible asset write ups</t>
  </si>
  <si>
    <t>Less: Write off of target goodwill</t>
  </si>
  <si>
    <t>Less: Write off of target deferred tax assets</t>
  </si>
  <si>
    <t>Target assets - fair market value</t>
  </si>
  <si>
    <t>Target liabilities - book value</t>
  </si>
  <si>
    <t>Less: Write off of target deferred tax liabilities</t>
  </si>
  <si>
    <t>Plus: New deferred tax liabilities created</t>
  </si>
  <si>
    <t>Target liabilities - fair market value</t>
  </si>
  <si>
    <t>Target net book value - fair market value</t>
  </si>
  <si>
    <t>Goodwill created in transaction</t>
  </si>
  <si>
    <t>Tangible assets</t>
  </si>
  <si>
    <t>Book value of target PP&amp;E</t>
  </si>
  <si>
    <t>% Write-up</t>
  </si>
  <si>
    <t>Asset write-up</t>
  </si>
  <si>
    <t>Useful life</t>
  </si>
  <si>
    <t>Incremental depreciation expense</t>
  </si>
  <si>
    <t>Incremental deferred tax liabilities</t>
  </si>
  <si>
    <t>Intangible assets</t>
  </si>
  <si>
    <t xml:space="preserve">Book value of target intangible assets </t>
  </si>
  <si>
    <t>Incremental amortization expense</t>
  </si>
  <si>
    <t xml:space="preserve">Filing type </t>
  </si>
  <si>
    <t>Pro Forma Statements</t>
  </si>
  <si>
    <t>Assets</t>
  </si>
  <si>
    <t>Cash &amp; equivalents</t>
  </si>
  <si>
    <t>Inventory</t>
  </si>
  <si>
    <t>Other current assets</t>
  </si>
  <si>
    <t>Deferred tax assets</t>
  </si>
  <si>
    <t>PP&amp;E</t>
  </si>
  <si>
    <t>Goodwill</t>
  </si>
  <si>
    <t>Other assets</t>
  </si>
  <si>
    <t>Total Assets</t>
  </si>
  <si>
    <t>Liabilities &amp; Equity</t>
  </si>
  <si>
    <t>Accounts payable</t>
  </si>
  <si>
    <t>Accrued expenses &amp; def. revenue</t>
  </si>
  <si>
    <t>Revolver &amp; current debt</t>
  </si>
  <si>
    <t>Long term debt</t>
  </si>
  <si>
    <t>Convertible debt</t>
  </si>
  <si>
    <t>Deferred tax liabilities</t>
  </si>
  <si>
    <t>Other liabilities</t>
  </si>
  <si>
    <t>Preferred stock</t>
  </si>
  <si>
    <t>Noncontrolling interests</t>
  </si>
  <si>
    <t>Shareholders equity</t>
  </si>
  <si>
    <t>Balance Check</t>
  </si>
  <si>
    <t>Standalone</t>
  </si>
  <si>
    <t>Adjustments</t>
  </si>
  <si>
    <t>Pro forma</t>
  </si>
  <si>
    <t>Increase</t>
  </si>
  <si>
    <t>Decrease</t>
  </si>
  <si>
    <t>Stock Sale</t>
  </si>
  <si>
    <t>Accounts receivable</t>
  </si>
  <si>
    <t>New borrowing to fund fees</t>
  </si>
  <si>
    <t>Tax rate for DTL calculation</t>
  </si>
  <si>
    <t>Total debt</t>
  </si>
  <si>
    <t>+ Noncontrolling interests</t>
  </si>
  <si>
    <t>+ Preferred stock</t>
  </si>
  <si>
    <t>- Cash &amp; equivalents</t>
  </si>
  <si>
    <t>Net debt</t>
  </si>
  <si>
    <t>Equity value (share price x shares out.)</t>
  </si>
  <si>
    <t>Enterprise value</t>
  </si>
  <si>
    <t>Debt / Equity</t>
  </si>
  <si>
    <t>Total Liabilities &amp; Equity</t>
  </si>
  <si>
    <t>Credit Statistics</t>
  </si>
  <si>
    <t>Accretion Dilution Analysis</t>
  </si>
  <si>
    <t>EPS Accounting:</t>
  </si>
  <si>
    <t>Cash EPS</t>
  </si>
  <si>
    <t>Net income</t>
  </si>
  <si>
    <t>EPS</t>
  </si>
  <si>
    <t>Diluted shares outstanding (weighted avg.)</t>
  </si>
  <si>
    <r>
      <t>Transaction related expenses/income</t>
    </r>
    <r>
      <rPr>
        <u/>
        <vertAlign val="superscript"/>
        <sz val="11"/>
        <color theme="1"/>
        <rFont val="Aptos Narrow"/>
        <family val="2"/>
        <scheme val="minor"/>
      </rPr>
      <t>(1)</t>
    </r>
  </si>
  <si>
    <t>Less: Interest expense from new deal debt</t>
  </si>
  <si>
    <t>Less: Interest income on cash forgone</t>
  </si>
  <si>
    <t>Plus: Synergies</t>
  </si>
  <si>
    <t>Less: Financing fee amortization</t>
  </si>
  <si>
    <t>Taxes (assumed at acquirer's rate)</t>
  </si>
  <si>
    <t>Total after tax transaction related income/ (expenses)</t>
  </si>
  <si>
    <t>Pro Forma Shares Outstanding</t>
  </si>
  <si>
    <t>Acquirer standalone EPS</t>
  </si>
  <si>
    <t>Accretion / Dilution per share</t>
  </si>
  <si>
    <t>Accretion / Dilution %</t>
  </si>
  <si>
    <t>Additional pretax synergies required to breakeven</t>
  </si>
  <si>
    <t>Sensitivity Analysis</t>
  </si>
  <si>
    <t>Offer Price</t>
  </si>
  <si>
    <t>Annualized Synergies ($mm)</t>
  </si>
  <si>
    <t>Interest</t>
  </si>
  <si>
    <t xml:space="preserve">Rate on </t>
  </si>
  <si>
    <t>New Debt</t>
  </si>
  <si>
    <t>% Debt</t>
  </si>
  <si>
    <t>Merger</t>
  </si>
  <si>
    <t>Used in</t>
  </si>
  <si>
    <t>% debt used in merger</t>
  </si>
  <si>
    <t xml:space="preserve">Offer Price </t>
  </si>
  <si>
    <t>Summary</t>
  </si>
  <si>
    <t>DEAL TERMS</t>
  </si>
  <si>
    <t>Consideration / structure</t>
  </si>
  <si>
    <t>Premium to unaffected (10/26/22)</t>
  </si>
  <si>
    <t>Equity value (offer)</t>
  </si>
  <si>
    <t>Enterprise value (offer)</t>
  </si>
  <si>
    <t>Total new debt raised</t>
  </si>
  <si>
    <t>Blended rate on new debt</t>
  </si>
  <si>
    <t>Pro forma gross debt</t>
  </si>
  <si>
    <t>Pro forma net debt</t>
  </si>
  <si>
    <t>Target leverage (mgmt)</t>
  </si>
  <si>
    <t>2.5x – 3.0x</t>
  </si>
  <si>
    <t>Cash</t>
  </si>
  <si>
    <t>GAAP</t>
  </si>
  <si>
    <t>Pro forma net income</t>
  </si>
  <si>
    <t>Pro forma diluted shares</t>
  </si>
  <si>
    <t>Pro forma EPS</t>
  </si>
  <si>
    <t>Accretion / (dilution) $</t>
  </si>
  <si>
    <t>Accretion / (dilution) %</t>
  </si>
  <si>
    <t>Add'l pretax synergies to breakeven</t>
  </si>
  <si>
    <t>RECONCILIATION vs. DISCLOSED</t>
  </si>
  <si>
    <t>Model</t>
  </si>
  <si>
    <t>Disclosed</t>
  </si>
  <si>
    <t>Diff</t>
  </si>
  <si>
    <t>% Diff</t>
  </si>
  <si>
    <t>Goodwill created</t>
  </si>
  <si>
    <t>Offer value (equity)</t>
  </si>
  <si>
    <t>Cash EPS Accretion / Dilution Per Share</t>
  </si>
  <si>
    <t>GAAP EPS Accretion / Dilution Per Share</t>
  </si>
  <si>
    <t>GAAP EPS</t>
  </si>
  <si>
    <t>Year Ended</t>
  </si>
  <si>
    <t>Target interest expense FY22</t>
  </si>
  <si>
    <t>Plus: Target interest expense eliminated</t>
  </si>
  <si>
    <t>Assumed annual pretax cost synergies</t>
  </si>
  <si>
    <t>Annualized synergies</t>
  </si>
  <si>
    <t>PRO FORMA — FY22 , FULL RUN-RATE SYNERGIES</t>
  </si>
  <si>
    <t>Is this deal accretive or dilutive?</t>
  </si>
  <si>
    <t>per share</t>
  </si>
  <si>
    <t>% per share</t>
  </si>
  <si>
    <t>Blue</t>
  </si>
  <si>
    <t>Green</t>
  </si>
  <si>
    <t>Black</t>
  </si>
  <si>
    <t>Red</t>
  </si>
  <si>
    <t>Legend</t>
  </si>
  <si>
    <t xml:space="preserve">Link to an external file </t>
  </si>
  <si>
    <t xml:space="preserve"> </t>
  </si>
  <si>
    <t>Date completed: 9/3/2026</t>
  </si>
  <si>
    <t>Analysis performed using data available on 3/1/23</t>
  </si>
  <si>
    <t>Hardcoded input</t>
  </si>
  <si>
    <t>Formula computed (same tab or across tabs), all labels, and data table outputs</t>
  </si>
  <si>
    <t>Direct cross-tab reference only (e.g. =Assumptions!N9). Formulas that compute using another tab's inputs stay black.</t>
  </si>
  <si>
    <t>Blue is also used for Pro Forma BS cells that sum raw 10-K line items (inputs in substance); see cell comments for the components.</t>
  </si>
  <si>
    <t>Less: Incremental depreciation expense</t>
  </si>
  <si>
    <t>Adjusted EPS</t>
  </si>
  <si>
    <t>Less: Incremental amortization expense</t>
  </si>
  <si>
    <t>Pro Forma Net Income</t>
  </si>
  <si>
    <t>Plus: Acquirer intangible amortization</t>
  </si>
  <si>
    <t>Plus: Target intangible amortization</t>
  </si>
  <si>
    <t>Plus: Restructuring and related costs</t>
  </si>
  <si>
    <t>Plus: Transaction and related costs</t>
  </si>
  <si>
    <t>Adjusted EPS Accretion / Dilution Per Share</t>
  </si>
  <si>
    <t>Acquirer standalone  EPS</t>
  </si>
  <si>
    <t>Adjusted</t>
  </si>
  <si>
    <t xml:space="preserve">FY2022 basis, full run-rate synergies. GAAP EPS includes incremental D&amp;A and financing-fee amortization. Cash EPS excludes incremental D&amp;A and financing-fee amortization. </t>
  </si>
  <si>
    <t xml:space="preserve">Adjusted EPS adds back all intangible amortization (acquirer + target), restructuring, and transaction/deal costs (management-adjusted basis; retains incremental depreciation </t>
  </si>
  <si>
    <t>and financing-fee amortization); standalone acquirer EPS adjusted on the same basis. Blue = disclosed reference.</t>
  </si>
  <si>
    <t>Regal Rexnord – Altra</t>
  </si>
  <si>
    <t>Sources</t>
  </si>
  <si>
    <t>Primary sources are company SEC filings (10-K, 8-K) and market data as of the modeling date (3/1/2023) except where noted as an estimate. Each figure is also documented in a cell comment on the relevant model tab.</t>
  </si>
  <si>
    <t>Regal Rexnord (Acquirer) — Company Financials &amp; Market Data</t>
  </si>
  <si>
    <t>Regal Rexnord Corporation FY2022 Form 10-K (SEC EDGAR, period ended 12/31/2022)</t>
  </si>
  <si>
    <t>Intangible amortization, FY22 = $185.5mm (Note 5, printed p.77). See Assumptions!N62.</t>
  </si>
  <si>
    <t>Restructuring &amp; related costs, FY22 = $46.8mm (Note 15, printed p.105). See Assumptions!N64.</t>
  </si>
  <si>
    <t>Transaction &amp; related costs, FY22 = $19.0mm ($14.7mm Altra + $4.3mm Rexnord; MD&amp;A, printed p.66). See Assumptions!N65.</t>
  </si>
  <si>
    <t>Balance-sheet line-item groupings for the pro forma (prepaid/other assets, accrued liabilities, other liabilities). See Pro Forma BS!H12, H16, H21, H26.</t>
  </si>
  <si>
    <t>Regal Rexnord (NYSE: RRX) — market close share price $149.66 as of 2/24/2023</t>
  </si>
  <si>
    <t>Current acquirer share price used for equity value and diluted-share (treasury method) calculations. See Assumptions!H11.</t>
  </si>
  <si>
    <t>Altra Industrial Motion (Target) — Company Financials</t>
  </si>
  <si>
    <t>Altra Industrial Motion Corp FY2022 Form 10-K (SEC EDGAR, period ended 12/31/2022)</t>
  </si>
  <si>
    <t>Amortization of intangibles = $55.2mm (consolidated statement of cash flows). See Assumptions!N63.</t>
  </si>
  <si>
    <t>Interest expense, net = $51.5mm for FY2022 (consolidated statement of earnings, p.48; also MD&amp;A p.50). See Assumptions!H66.</t>
  </si>
  <si>
    <t>Balance-sheet line-item groupings for the pro forma (deferred taxes/other assets, accrued liabilities, other liabilities). See Pro Forma BS!I16, I21, I26.</t>
  </si>
  <si>
    <t>Altra Industrial Motion (NASDAQ: AIMC) — unaffected share price $40.26 as of 10/26/2022</t>
  </si>
  <si>
    <t>Unaffected (pre-announcement) target share price; the $62.00 offer implies a ~54.0% premium. Source: Yahoo Finance, 10/27/2022 (included in source documents). See Assumptions!H20, H25, H26.</t>
  </si>
  <si>
    <t>Deal Financing Terms</t>
  </si>
  <si>
    <t>Regal Rexnord Form 8-K, filed 1/9/2023 — debt issuance terms</t>
  </si>
  <si>
    <t>Principal-weighted average coupon of 6.2% on acquisition financing, applied to the full $4,891.7mm including term-loan borrowings. See Assumptions!H56.</t>
  </si>
  <si>
    <t>Regal Rexnord Form 8-K, filed 1/24/2023 — notes offering</t>
  </si>
  <si>
    <t>Principal-weighted average tenor of 6.3 years across the four note tranches. See Assumptions!H52.</t>
  </si>
  <si>
    <t>Financing fees of ~1.13% implied from $4,700mm gross vs. ~$4,647mm net proceeds. See Assumptions!H53.</t>
  </si>
  <si>
    <t>Modeling Estimates &amp; Methodology</t>
  </si>
  <si>
    <t>Analyst estimates (no external source — modeling judgment)</t>
  </si>
  <si>
    <t>Yield earned on cash = 5.0% (estimate). See Assumptions!H57.</t>
  </si>
  <si>
    <t>Deal fees = 1.5% of offer value (estimate; RRX recorded $14.7mm of transaction costs in 2022, the $86.9mm 2023 figure was not knowable at the modeling date). See Assumptions!H60.</t>
  </si>
  <si>
    <t>DTL calculation tax rate = 25% (used for incremental DTLs on Altra's FDII credits from overseas operations). See Assumptions!H63.</t>
  </si>
  <si>
    <t>Methodology notes</t>
  </si>
  <si>
    <t>Options are consolidated to a weighted average per company; neither company discloses tranche-by-tranche data. See Shares!B18.</t>
  </si>
  <si>
    <t>Pro forma cash EPS is not an adjusted-EPS figure and deviates from management's adjusted cash EPS. See Accretion Dilution!N36.</t>
  </si>
  <si>
    <t>Sensitivity data-table inputs (synergies $160mm, rate 6.2%) are set on the Accretion Dilution tab to feed the Excel data tables. See Accretion Dilution!E45.</t>
  </si>
  <si>
    <t>EV / CY2022 Adjusted EBITDA</t>
  </si>
  <si>
    <t>PF gross debt / Adjusted EBITDA</t>
  </si>
  <si>
    <t>PF net debt / synerg. Adjusted EBITDA</t>
  </si>
  <si>
    <t>Adjusted EBITDA = $1,111.7mm, Regal Rexnord adjusted EBITDA per the Net Income to Adjusted EBITDA reconciliation in the Q4 2022 earnings release, 2/1/23. See Assumptions!N60.</t>
  </si>
  <si>
    <t>Altra adjusted EBITDA = $388.5mm, FY2022 Non-GAAP Adjusted EBITDA disclosed directly in Altra's Q4 &amp; FY2022 earnings release (Reconciliation of Non-GAAP Adjusted EBITDA, Year Ended 12/31/2022); on the same footing as Regal's (both add back stock compensation). The announced ~13.1x target multiple reconciles off LTM Q3 2022 (deal announced 10/26/22): FY2022 $388.5 less Q4 2022 $96.2 plus Q4 2021 $87.2 = $379.5mm LTM, or 13.01x against the $4,936.9mm offer EV (13.04x vs. management's stated ~$4.95bn) — an inference from published quarters, not a disclosure. Release dated 3/1/2023 4:47pm ET, after the close on the modeling date. See Assumptions!N61.</t>
  </si>
  <si>
    <t>Altra Industrial Motion Corp Q4 &amp; FY2022 earnings release (dated 3/1/2023 4:47pm ET; uploaded document)</t>
  </si>
  <si>
    <t>Gross Debt / Adjusted EBITDA</t>
  </si>
  <si>
    <t>Gross Debt / Synergized Adjusted EBITDA</t>
  </si>
  <si>
    <t>Enterprise value / Adjusted EBITDA</t>
  </si>
  <si>
    <t>Model completed 9/3/2026 by Tyler Spencer using data available as of 3/1/2023. Uploaded source filings: Regal Rexnord 2022 10-K, Altra 2022 10-K, Regal Rexnord Q4 2022 earnings release (2/1/2023), Altra Q4 &amp; FY2022 earnings release (3/1/2023).</t>
  </si>
  <si>
    <t>Cash/ adjusted EPS accretive; GAAP breaks even at +$56.5mm synergies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</si>
</sst>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&quot;x&quot;"/>
    <numFmt numFmtId="166" formatCode="_(* #,##0.0_);_(* \(#,##0.0\);_(* &quot;-&quot;??_);_(@_)"/>
    <numFmt numFmtId="167" formatCode="#,##0.000_);\(#,##0.000\)"/>
    <numFmt numFmtId="168" formatCode="&quot;- Opening UCC pool of &quot;&quot;$&quot;#,###.0&quot; million as of January 1, 1999&quot;"/>
    <numFmt numFmtId="169" formatCode="0\ &quot;years&quot;"/>
    <numFmt numFmtId="170" formatCode="\+0.00%;\(0.00%\)"/>
    <numFmt numFmtId="171" formatCode="0.0"/>
    <numFmt numFmtId="172" formatCode="#,##0.0_);\(#,##0.0\)"/>
    <numFmt numFmtId="173" formatCode="0.0%;\(0.0%\)"/>
    <numFmt numFmtId="174" formatCode="#,##0.0_);\(&quot;$&quot;#,##0.0\)"/>
    <numFmt numFmtId="175" formatCode="#,##0.0_);\(#,##0.0\);@_)"/>
    <numFmt numFmtId="176" formatCode="0.00_);\(0.00\)"/>
    <numFmt numFmtId="177" formatCode="&quot;$&quot;0.00;\(&quot;$&quot;0.00\)"/>
    <numFmt numFmtId="178" formatCode="0.0&quot;x&quot;"/>
    <numFmt numFmtId="179" formatCode="mm\-dd\-yy"/>
    <numFmt numFmtId="180" formatCode="0&quot; yrs&quot;"/>
    <numFmt numFmtId="181" formatCode="0&quot;A&quot;"/>
    <numFmt numFmtId="182" formatCode="#,##0.0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indexed="56"/>
      <name val="Cambria"/>
      <family val="2"/>
    </font>
    <font>
      <b/>
      <sz val="36"/>
      <color rgb="FF002F6C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2F6C"/>
      <name val="Arial"/>
      <family val="2"/>
    </font>
    <font>
      <i/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color rgb="FF000000"/>
      <name val="Arial"/>
      <family val="2"/>
    </font>
    <font>
      <b/>
      <u/>
      <sz val="10"/>
      <name val="Arial"/>
      <family val="2"/>
    </font>
    <font>
      <i/>
      <sz val="10"/>
      <color theme="1"/>
      <name val="Arial"/>
      <family val="2"/>
    </font>
    <font>
      <b/>
      <sz val="18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u/>
      <sz val="10"/>
      <name val="Arial"/>
      <family val="2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8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u/>
      <vertAlign val="superscript"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sz val="8"/>
      <color theme="1"/>
      <name val="Arial"/>
      <family val="2"/>
    </font>
    <font>
      <b/>
      <sz val="11"/>
      <color rgb="FFFFFF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i/>
      <sz val="9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1"/>
      <color rgb="FF008000"/>
      <name val="Aptos Narrow"/>
      <family val="2"/>
      <scheme val="minor"/>
    </font>
    <font>
      <i/>
      <sz val="10"/>
      <color rgb="FF008000"/>
      <name val="Arial"/>
      <family val="2"/>
    </font>
    <font>
      <i/>
      <sz val="9"/>
      <color rgb="FF002F6C"/>
      <name val="Arial"/>
      <family val="2"/>
    </font>
    <font>
      <b/>
      <sz val="18"/>
      <name val="Arial"/>
      <family val="2"/>
    </font>
    <font>
      <b/>
      <sz val="18"/>
      <color rgb="FF002F6C"/>
      <name val="Arial"/>
    </font>
    <font>
      <b/>
      <sz val="14"/>
      <color rgb="FF002F6C"/>
      <name val="Arial"/>
    </font>
    <font>
      <i/>
      <sz val="9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  <font>
      <u/>
      <sz val="11"/>
      <color theme="1"/>
      <name val="Arial"/>
    </font>
    <font>
      <u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2F6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F4E78"/>
      </top>
      <bottom/>
      <diagonal/>
    </border>
    <border>
      <left/>
      <right/>
      <top/>
      <bottom style="thin">
        <color rgb="FF1F4E78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/>
      <diagonal/>
    </border>
    <border>
      <left/>
      <right style="thin">
        <color rgb="FF1F4E78"/>
      </right>
      <top/>
      <bottom/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/>
      <right style="thin">
        <color rgb="FF1F4E78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1F4E78"/>
      </left>
      <right/>
      <top/>
      <bottom style="thin">
        <color indexed="64"/>
      </bottom>
      <diagonal/>
    </border>
    <border>
      <left/>
      <right style="thin">
        <color rgb="FF1F4E78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6">
    <xf numFmtId="0" fontId="0" fillId="0" borderId="0" xfId="0"/>
    <xf numFmtId="0" fontId="2" fillId="2" borderId="0" xfId="0" applyFont="1" applyFill="1"/>
    <xf numFmtId="165" fontId="2" fillId="3" borderId="0" xfId="0" applyNumberFormat="1" applyFont="1" applyFill="1" applyAlignment="1">
      <alignment horizontal="right"/>
    </xf>
    <xf numFmtId="0" fontId="2" fillId="3" borderId="0" xfId="0" applyFont="1" applyFill="1"/>
    <xf numFmtId="0" fontId="0" fillId="3" borderId="0" xfId="0" applyFill="1"/>
    <xf numFmtId="164" fontId="2" fillId="3" borderId="0" xfId="0" applyNumberFormat="1" applyFont="1" applyFill="1"/>
    <xf numFmtId="0" fontId="4" fillId="3" borderId="0" xfId="4" applyNumberFormat="1" applyFont="1" applyFill="1" applyBorder="1"/>
    <xf numFmtId="37" fontId="2" fillId="3" borderId="0" xfId="0" applyNumberFormat="1" applyFont="1" applyFill="1"/>
    <xf numFmtId="14" fontId="2" fillId="3" borderId="0" xfId="0" applyNumberFormat="1" applyFont="1" applyFill="1"/>
    <xf numFmtId="166" fontId="2" fillId="3" borderId="0" xfId="1" applyNumberFormat="1" applyFont="1" applyFill="1"/>
    <xf numFmtId="0" fontId="15" fillId="3" borderId="0" xfId="0" applyFont="1" applyFill="1"/>
    <xf numFmtId="7" fontId="9" fillId="3" borderId="14" xfId="0" applyNumberFormat="1" applyFont="1" applyFill="1" applyBorder="1" applyAlignment="1">
      <alignment horizontal="right"/>
    </xf>
    <xf numFmtId="164" fontId="9" fillId="3" borderId="14" xfId="0" applyNumberFormat="1" applyFont="1" applyFill="1" applyBorder="1" applyAlignment="1">
      <alignment horizontal="right"/>
    </xf>
    <xf numFmtId="164" fontId="9" fillId="3" borderId="14" xfId="3" applyNumberFormat="1" applyFont="1" applyFill="1" applyBorder="1" applyAlignment="1">
      <alignment horizontal="right"/>
    </xf>
    <xf numFmtId="164" fontId="9" fillId="3" borderId="14" xfId="0" quotePrefix="1" applyNumberFormat="1" applyFont="1" applyFill="1" applyBorder="1" applyAlignment="1">
      <alignment horizontal="right"/>
    </xf>
    <xf numFmtId="0" fontId="2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173" fontId="9" fillId="3" borderId="14" xfId="0" applyNumberFormat="1" applyFont="1" applyFill="1" applyBorder="1" applyAlignment="1">
      <alignment horizontal="right"/>
    </xf>
    <xf numFmtId="164" fontId="8" fillId="3" borderId="14" xfId="0" applyNumberFormat="1" applyFont="1" applyFill="1" applyBorder="1" applyAlignment="1">
      <alignment horizontal="right"/>
    </xf>
    <xf numFmtId="172" fontId="8" fillId="3" borderId="14" xfId="0" applyNumberFormat="1" applyFont="1" applyFill="1" applyBorder="1" applyAlignment="1">
      <alignment horizontal="right"/>
    </xf>
    <xf numFmtId="167" fontId="8" fillId="3" borderId="14" xfId="0" applyNumberFormat="1" applyFont="1" applyFill="1" applyBorder="1" applyAlignment="1">
      <alignment horizontal="right"/>
    </xf>
    <xf numFmtId="167" fontId="8" fillId="3" borderId="17" xfId="0" applyNumberFormat="1" applyFont="1" applyFill="1" applyBorder="1" applyAlignment="1">
      <alignment horizontal="right"/>
    </xf>
    <xf numFmtId="168" fontId="8" fillId="3" borderId="0" xfId="0" applyNumberFormat="1" applyFont="1" applyFill="1" applyAlignment="1">
      <alignment horizontal="left"/>
    </xf>
    <xf numFmtId="14" fontId="15" fillId="3" borderId="0" xfId="0" applyNumberFormat="1" applyFont="1" applyFill="1" applyAlignment="1">
      <alignment horizontal="left"/>
    </xf>
    <xf numFmtId="37" fontId="17" fillId="3" borderId="0" xfId="0" applyNumberFormat="1" applyFont="1" applyFill="1" applyAlignment="1">
      <alignment horizontal="right"/>
    </xf>
    <xf numFmtId="39" fontId="17" fillId="3" borderId="0" xfId="0" applyNumberFormat="1" applyFont="1" applyFill="1" applyAlignment="1">
      <alignment horizontal="right"/>
    </xf>
    <xf numFmtId="168" fontId="15" fillId="3" borderId="0" xfId="0" quotePrefix="1" applyNumberFormat="1" applyFont="1" applyFill="1" applyAlignment="1">
      <alignment horizontal="left"/>
    </xf>
    <xf numFmtId="169" fontId="17" fillId="3" borderId="0" xfId="0" applyNumberFormat="1" applyFont="1" applyFill="1" applyAlignment="1">
      <alignment horizontal="right"/>
    </xf>
    <xf numFmtId="164" fontId="17" fillId="3" borderId="0" xfId="0" applyNumberFormat="1" applyFont="1" applyFill="1" applyAlignment="1">
      <alignment horizontal="right"/>
    </xf>
    <xf numFmtId="166" fontId="9" fillId="3" borderId="0" xfId="1" applyNumberFormat="1" applyFont="1" applyFill="1" applyBorder="1" applyAlignment="1">
      <alignment horizontal="right"/>
    </xf>
    <xf numFmtId="164" fontId="9" fillId="3" borderId="17" xfId="0" quotePrefix="1" applyNumberFormat="1" applyFont="1" applyFill="1" applyBorder="1" applyAlignment="1">
      <alignment horizontal="right"/>
    </xf>
    <xf numFmtId="172" fontId="9" fillId="3" borderId="0" xfId="0" applyNumberFormat="1" applyFont="1" applyFill="1" applyAlignment="1">
      <alignment horizontal="right"/>
    </xf>
    <xf numFmtId="170" fontId="9" fillId="3" borderId="0" xfId="0" applyNumberFormat="1" applyFont="1" applyFill="1" applyAlignment="1">
      <alignment horizontal="right"/>
    </xf>
    <xf numFmtId="164" fontId="9" fillId="3" borderId="0" xfId="0" applyNumberFormat="1" applyFont="1" applyFill="1" applyAlignment="1">
      <alignment horizontal="right"/>
    </xf>
    <xf numFmtId="171" fontId="9" fillId="3" borderId="0" xfId="0" applyNumberFormat="1" applyFont="1" applyFill="1"/>
    <xf numFmtId="0" fontId="15" fillId="3" borderId="8" xfId="0" applyFont="1" applyFill="1" applyBorder="1" applyAlignment="1">
      <alignment horizontal="centerContinuous"/>
    </xf>
    <xf numFmtId="0" fontId="22" fillId="3" borderId="0" xfId="0" applyFont="1" applyFill="1" applyAlignment="1">
      <alignment horizontal="left" indent="1"/>
    </xf>
    <xf numFmtId="7" fontId="15" fillId="3" borderId="0" xfId="0" applyNumberFormat="1" applyFont="1" applyFill="1"/>
    <xf numFmtId="0" fontId="15" fillId="3" borderId="6" xfId="0" applyFont="1" applyFill="1" applyBorder="1"/>
    <xf numFmtId="172" fontId="25" fillId="3" borderId="0" xfId="0" quotePrefix="1" applyNumberFormat="1" applyFont="1" applyFill="1" applyAlignment="1">
      <alignment horizontal="left" indent="1"/>
    </xf>
    <xf numFmtId="0" fontId="15" fillId="3" borderId="0" xfId="0" quotePrefix="1" applyFont="1" applyFill="1" applyAlignment="1">
      <alignment horizontal="left" indent="1"/>
    </xf>
    <xf numFmtId="0" fontId="16" fillId="3" borderId="0" xfId="0" applyFont="1" applyFill="1" applyAlignment="1">
      <alignment horizontal="left" indent="1"/>
    </xf>
    <xf numFmtId="0" fontId="19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right"/>
    </xf>
    <xf numFmtId="0" fontId="15" fillId="3" borderId="8" xfId="0" applyFont="1" applyFill="1" applyBorder="1"/>
    <xf numFmtId="0" fontId="15" fillId="3" borderId="9" xfId="0" applyFont="1" applyFill="1" applyBorder="1"/>
    <xf numFmtId="0" fontId="28" fillId="3" borderId="8" xfId="0" applyFont="1" applyFill="1" applyBorder="1" applyAlignment="1">
      <alignment horizontal="centerContinuous"/>
    </xf>
    <xf numFmtId="0" fontId="28" fillId="3" borderId="9" xfId="0" applyFont="1" applyFill="1" applyBorder="1" applyAlignment="1">
      <alignment horizontal="centerContinuous"/>
    </xf>
    <xf numFmtId="0" fontId="16" fillId="3" borderId="8" xfId="0" applyFont="1" applyFill="1" applyBorder="1" applyAlignment="1">
      <alignment horizontal="right"/>
    </xf>
    <xf numFmtId="0" fontId="28" fillId="3" borderId="9" xfId="0" applyFont="1" applyFill="1" applyBorder="1"/>
    <xf numFmtId="0" fontId="16" fillId="3" borderId="0" xfId="0" applyFont="1" applyFill="1" applyAlignment="1">
      <alignment horizontal="right"/>
    </xf>
    <xf numFmtId="172" fontId="29" fillId="3" borderId="17" xfId="0" applyNumberFormat="1" applyFont="1" applyFill="1" applyBorder="1" applyAlignment="1">
      <alignment horizontal="right"/>
    </xf>
    <xf numFmtId="172" fontId="29" fillId="3" borderId="14" xfId="0" applyNumberFormat="1" applyFont="1" applyFill="1" applyBorder="1" applyAlignment="1">
      <alignment horizontal="right"/>
    </xf>
    <xf numFmtId="172" fontId="29" fillId="3" borderId="6" xfId="0" applyNumberFormat="1" applyFont="1" applyFill="1" applyBorder="1" applyAlignment="1">
      <alignment horizontal="right"/>
    </xf>
    <xf numFmtId="167" fontId="8" fillId="3" borderId="6" xfId="0" applyNumberFormat="1" applyFont="1" applyFill="1" applyBorder="1" applyAlignment="1">
      <alignment horizontal="right"/>
    </xf>
    <xf numFmtId="174" fontId="8" fillId="3" borderId="0" xfId="0" applyNumberFormat="1" applyFont="1" applyFill="1" applyAlignment="1">
      <alignment horizontal="right"/>
    </xf>
    <xf numFmtId="172" fontId="8" fillId="3" borderId="6" xfId="0" applyNumberFormat="1" applyFont="1" applyFill="1" applyBorder="1" applyAlignment="1">
      <alignment horizontal="right"/>
    </xf>
    <xf numFmtId="172" fontId="9" fillId="3" borderId="6" xfId="0" applyNumberFormat="1" applyFont="1" applyFill="1" applyBorder="1" applyAlignment="1">
      <alignment horizontal="right"/>
    </xf>
    <xf numFmtId="174" fontId="22" fillId="3" borderId="0" xfId="0" applyNumberFormat="1" applyFont="1" applyFill="1" applyAlignment="1">
      <alignment horizontal="right"/>
    </xf>
    <xf numFmtId="175" fontId="36" fillId="3" borderId="0" xfId="0" applyNumberFormat="1" applyFont="1" applyFill="1"/>
    <xf numFmtId="176" fontId="0" fillId="3" borderId="21" xfId="0" applyNumberFormat="1" applyFill="1" applyBorder="1"/>
    <xf numFmtId="7" fontId="29" fillId="3" borderId="14" xfId="0" applyNumberFormat="1" applyFont="1" applyFill="1" applyBorder="1" applyAlignment="1">
      <alignment horizontal="right"/>
    </xf>
    <xf numFmtId="43" fontId="2" fillId="3" borderId="2" xfId="0" applyNumberFormat="1" applyFont="1" applyFill="1" applyBorder="1"/>
    <xf numFmtId="164" fontId="41" fillId="3" borderId="25" xfId="0" applyNumberFormat="1" applyFont="1" applyFill="1" applyBorder="1" applyAlignment="1">
      <alignment horizontal="centerContinuous" vertical="center"/>
    </xf>
    <xf numFmtId="164" fontId="41" fillId="3" borderId="26" xfId="0" applyNumberFormat="1" applyFont="1" applyFill="1" applyBorder="1" applyAlignment="1">
      <alignment horizontal="centerContinuous" vertical="center"/>
    </xf>
    <xf numFmtId="177" fontId="15" fillId="3" borderId="27" xfId="0" applyNumberFormat="1" applyFont="1" applyFill="1" applyBorder="1" applyAlignment="1">
      <alignment horizontal="center"/>
    </xf>
    <xf numFmtId="164" fontId="15" fillId="3" borderId="28" xfId="0" applyNumberFormat="1" applyFont="1" applyFill="1" applyBorder="1" applyAlignment="1">
      <alignment horizontal="center"/>
    </xf>
    <xf numFmtId="177" fontId="15" fillId="0" borderId="9" xfId="0" applyNumberFormat="1" applyFont="1" applyBorder="1" applyAlignment="1">
      <alignment horizontal="center"/>
    </xf>
    <xf numFmtId="177" fontId="15" fillId="0" borderId="26" xfId="0" applyNumberFormat="1" applyFont="1" applyBorder="1" applyAlignment="1">
      <alignment horizontal="center"/>
    </xf>
    <xf numFmtId="177" fontId="15" fillId="0" borderId="24" xfId="0" applyNumberFormat="1" applyFont="1" applyBorder="1" applyAlignment="1">
      <alignment horizontal="center"/>
    </xf>
    <xf numFmtId="177" fontId="15" fillId="0" borderId="22" xfId="0" applyNumberFormat="1" applyFont="1" applyBorder="1" applyAlignment="1">
      <alignment horizontal="center"/>
    </xf>
    <xf numFmtId="177" fontId="15" fillId="6" borderId="22" xfId="0" applyNumberFormat="1" applyFont="1" applyFill="1" applyBorder="1" applyAlignment="1">
      <alignment horizontal="center"/>
    </xf>
    <xf numFmtId="164" fontId="40" fillId="3" borderId="25" xfId="0" applyNumberFormat="1" applyFont="1" applyFill="1" applyBorder="1" applyAlignment="1">
      <alignment horizontal="centerContinuous" vertical="center"/>
    </xf>
    <xf numFmtId="164" fontId="27" fillId="3" borderId="6" xfId="3" applyNumberFormat="1" applyFont="1" applyFill="1" applyBorder="1"/>
    <xf numFmtId="164" fontId="27" fillId="3" borderId="9" xfId="3" applyNumberFormat="1" applyFont="1" applyFill="1" applyBorder="1"/>
    <xf numFmtId="178" fontId="0" fillId="3" borderId="36" xfId="0" applyNumberFormat="1" applyFill="1" applyBorder="1" applyAlignment="1">
      <alignment horizontal="right"/>
    </xf>
    <xf numFmtId="178" fontId="0" fillId="3" borderId="6" xfId="0" applyNumberFormat="1" applyFill="1" applyBorder="1" applyAlignment="1">
      <alignment horizontal="right"/>
    </xf>
    <xf numFmtId="173" fontId="0" fillId="3" borderId="0" xfId="0" applyNumberFormat="1" applyFill="1" applyAlignment="1">
      <alignment horizontal="right"/>
    </xf>
    <xf numFmtId="173" fontId="0" fillId="3" borderId="35" xfId="0" applyNumberFormat="1" applyFill="1" applyBorder="1" applyAlignment="1">
      <alignment horizontal="right"/>
    </xf>
    <xf numFmtId="173" fontId="0" fillId="3" borderId="36" xfId="0" applyNumberFormat="1" applyFill="1" applyBorder="1" applyAlignment="1">
      <alignment horizontal="right"/>
    </xf>
    <xf numFmtId="172" fontId="9" fillId="3" borderId="0" xfId="0" applyNumberFormat="1" applyFont="1" applyFill="1"/>
    <xf numFmtId="172" fontId="15" fillId="3" borderId="0" xfId="0" applyNumberFormat="1" applyFont="1" applyFill="1"/>
    <xf numFmtId="172" fontId="22" fillId="3" borderId="0" xfId="0" applyNumberFormat="1" applyFont="1" applyFill="1" applyAlignment="1">
      <alignment horizontal="right"/>
    </xf>
    <xf numFmtId="172" fontId="9" fillId="3" borderId="8" xfId="0" applyNumberFormat="1" applyFont="1" applyFill="1" applyBorder="1" applyAlignment="1">
      <alignment horizontal="right"/>
    </xf>
    <xf numFmtId="172" fontId="9" fillId="3" borderId="8" xfId="0" applyNumberFormat="1" applyFont="1" applyFill="1" applyBorder="1"/>
    <xf numFmtId="172" fontId="15" fillId="3" borderId="8" xfId="0" applyNumberFormat="1" applyFont="1" applyFill="1" applyBorder="1"/>
    <xf numFmtId="172" fontId="22" fillId="3" borderId="8" xfId="0" applyNumberFormat="1" applyFont="1" applyFill="1" applyBorder="1" applyAlignment="1">
      <alignment horizontal="right"/>
    </xf>
    <xf numFmtId="172" fontId="36" fillId="3" borderId="0" xfId="0" applyNumberFormat="1" applyFont="1" applyFill="1"/>
    <xf numFmtId="172" fontId="36" fillId="3" borderId="8" xfId="0" applyNumberFormat="1" applyFont="1" applyFill="1" applyBorder="1"/>
    <xf numFmtId="167" fontId="11" fillId="3" borderId="0" xfId="0" applyNumberFormat="1" applyFont="1" applyFill="1" applyAlignment="1">
      <alignment horizontal="right"/>
    </xf>
    <xf numFmtId="167" fontId="15" fillId="3" borderId="0" xfId="0" applyNumberFormat="1" applyFont="1" applyFill="1"/>
    <xf numFmtId="167" fontId="22" fillId="3" borderId="0" xfId="0" applyNumberFormat="1" applyFont="1" applyFill="1" applyAlignment="1">
      <alignment horizontal="right"/>
    </xf>
    <xf numFmtId="178" fontId="0" fillId="3" borderId="3" xfId="0" applyNumberFormat="1" applyFill="1" applyBorder="1"/>
    <xf numFmtId="178" fontId="0" fillId="3" borderId="4" xfId="0" applyNumberFormat="1" applyFill="1" applyBorder="1"/>
    <xf numFmtId="178" fontId="0" fillId="3" borderId="0" xfId="0" applyNumberFormat="1" applyFill="1"/>
    <xf numFmtId="178" fontId="0" fillId="3" borderId="6" xfId="0" applyNumberFormat="1" applyFill="1" applyBorder="1"/>
    <xf numFmtId="164" fontId="0" fillId="3" borderId="8" xfId="0" applyNumberFormat="1" applyFill="1" applyBorder="1"/>
    <xf numFmtId="164" fontId="0" fillId="3" borderId="9" xfId="0" applyNumberFormat="1" applyFill="1" applyBorder="1"/>
    <xf numFmtId="172" fontId="22" fillId="3" borderId="6" xfId="0" applyNumberFormat="1" applyFont="1" applyFill="1" applyBorder="1" applyAlignment="1">
      <alignment horizontal="right"/>
    </xf>
    <xf numFmtId="172" fontId="8" fillId="3" borderId="9" xfId="0" applyNumberFormat="1" applyFont="1" applyFill="1" applyBorder="1" applyAlignment="1">
      <alignment horizontal="right"/>
    </xf>
    <xf numFmtId="172" fontId="9" fillId="5" borderId="14" xfId="0" applyNumberFormat="1" applyFont="1" applyFill="1" applyBorder="1"/>
    <xf numFmtId="167" fontId="34" fillId="3" borderId="9" xfId="0" applyNumberFormat="1" applyFont="1" applyFill="1" applyBorder="1" applyAlignment="1">
      <alignment horizontal="right"/>
    </xf>
    <xf numFmtId="164" fontId="22" fillId="3" borderId="14" xfId="0" applyNumberFormat="1" applyFont="1" applyFill="1" applyBorder="1" applyAlignment="1">
      <alignment horizontal="right"/>
    </xf>
    <xf numFmtId="164" fontId="29" fillId="3" borderId="14" xfId="3" applyNumberFormat="1" applyFont="1" applyFill="1" applyBorder="1" applyAlignment="1">
      <alignment horizontal="right"/>
    </xf>
    <xf numFmtId="164" fontId="22" fillId="3" borderId="14" xfId="3" applyNumberFormat="1" applyFont="1" applyFill="1" applyBorder="1" applyAlignment="1">
      <alignment horizontal="right"/>
    </xf>
    <xf numFmtId="10" fontId="9" fillId="3" borderId="14" xfId="3" applyNumberFormat="1" applyFont="1" applyFill="1" applyBorder="1" applyAlignment="1">
      <alignment horizontal="right"/>
    </xf>
    <xf numFmtId="10" fontId="29" fillId="3" borderId="14" xfId="0" applyNumberFormat="1" applyFont="1" applyFill="1" applyBorder="1" applyAlignment="1">
      <alignment horizontal="right"/>
    </xf>
    <xf numFmtId="10" fontId="9" fillId="3" borderId="17" xfId="0" applyNumberFormat="1" applyFont="1" applyFill="1" applyBorder="1" applyAlignment="1">
      <alignment horizontal="right"/>
    </xf>
    <xf numFmtId="10" fontId="9" fillId="5" borderId="14" xfId="0" applyNumberFormat="1" applyFont="1" applyFill="1" applyBorder="1" applyAlignment="1">
      <alignment horizontal="right"/>
    </xf>
    <xf numFmtId="180" fontId="9" fillId="3" borderId="14" xfId="3" applyNumberFormat="1" applyFont="1" applyFill="1" applyBorder="1" applyAlignment="1">
      <alignment horizontal="right"/>
    </xf>
    <xf numFmtId="180" fontId="9" fillId="3" borderId="14" xfId="0" applyNumberFormat="1" applyFont="1" applyFill="1" applyBorder="1" applyAlignment="1">
      <alignment horizontal="right"/>
    </xf>
    <xf numFmtId="179" fontId="9" fillId="3" borderId="14" xfId="0" applyNumberFormat="1" applyFont="1" applyFill="1" applyBorder="1" applyAlignment="1">
      <alignment horizontal="right"/>
    </xf>
    <xf numFmtId="172" fontId="0" fillId="3" borderId="0" xfId="0" applyNumberFormat="1" applyFill="1"/>
    <xf numFmtId="7" fontId="27" fillId="3" borderId="0" xfId="0" applyNumberFormat="1" applyFont="1" applyFill="1"/>
    <xf numFmtId="7" fontId="0" fillId="3" borderId="19" xfId="0" applyNumberFormat="1" applyFill="1" applyBorder="1"/>
    <xf numFmtId="7" fontId="0" fillId="3" borderId="6" xfId="0" applyNumberFormat="1" applyFill="1" applyBorder="1"/>
    <xf numFmtId="173" fontId="0" fillId="3" borderId="6" xfId="0" applyNumberFormat="1" applyFill="1" applyBorder="1"/>
    <xf numFmtId="181" fontId="37" fillId="3" borderId="0" xfId="0" applyNumberFormat="1" applyFont="1" applyFill="1" applyAlignment="1">
      <alignment horizontal="right"/>
    </xf>
    <xf numFmtId="179" fontId="27" fillId="3" borderId="0" xfId="0" applyNumberFormat="1" applyFont="1" applyFill="1"/>
    <xf numFmtId="172" fontId="27" fillId="0" borderId="6" xfId="0" applyNumberFormat="1" applyFont="1" applyBorder="1"/>
    <xf numFmtId="172" fontId="15" fillId="3" borderId="6" xfId="0" applyNumberFormat="1" applyFont="1" applyFill="1" applyBorder="1"/>
    <xf numFmtId="172" fontId="9" fillId="3" borderId="6" xfId="0" applyNumberFormat="1" applyFont="1" applyFill="1" applyBorder="1"/>
    <xf numFmtId="172" fontId="28" fillId="3" borderId="6" xfId="0" applyNumberFormat="1" applyFont="1" applyFill="1" applyBorder="1"/>
    <xf numFmtId="172" fontId="27" fillId="0" borderId="0" xfId="0" applyNumberFormat="1" applyFont="1"/>
    <xf numFmtId="172" fontId="8" fillId="3" borderId="0" xfId="0" applyNumberFormat="1" applyFont="1" applyFill="1" applyAlignment="1">
      <alignment horizontal="right"/>
    </xf>
    <xf numFmtId="172" fontId="28" fillId="3" borderId="3" xfId="0" applyNumberFormat="1" applyFont="1" applyFill="1" applyBorder="1"/>
    <xf numFmtId="0" fontId="6" fillId="4" borderId="31" xfId="0" applyFont="1" applyFill="1" applyBorder="1"/>
    <xf numFmtId="0" fontId="0" fillId="4" borderId="29" xfId="0" applyFill="1" applyBorder="1"/>
    <xf numFmtId="0" fontId="0" fillId="4" borderId="34" xfId="0" applyFill="1" applyBorder="1"/>
    <xf numFmtId="0" fontId="42" fillId="4" borderId="29" xfId="0" applyFont="1" applyFill="1" applyBorder="1" applyAlignment="1">
      <alignment horizontal="right"/>
    </xf>
    <xf numFmtId="0" fontId="42" fillId="4" borderId="34" xfId="0" applyFont="1" applyFill="1" applyBorder="1" applyAlignment="1">
      <alignment horizontal="right"/>
    </xf>
    <xf numFmtId="0" fontId="0" fillId="3" borderId="32" xfId="0" applyFill="1" applyBorder="1"/>
    <xf numFmtId="172" fontId="0" fillId="3" borderId="0" xfId="0" applyNumberFormat="1" applyFill="1" applyAlignment="1">
      <alignment horizontal="right"/>
    </xf>
    <xf numFmtId="7" fontId="0" fillId="3" borderId="38" xfId="0" applyNumberFormat="1" applyFill="1" applyBorder="1" applyAlignment="1">
      <alignment horizontal="right"/>
    </xf>
    <xf numFmtId="7" fontId="0" fillId="3" borderId="37" xfId="0" applyNumberFormat="1" applyFill="1" applyBorder="1" applyAlignment="1">
      <alignment horizontal="right"/>
    </xf>
    <xf numFmtId="0" fontId="0" fillId="3" borderId="5" xfId="0" applyFill="1" applyBorder="1"/>
    <xf numFmtId="0" fontId="0" fillId="3" borderId="33" xfId="0" applyFill="1" applyBorder="1"/>
    <xf numFmtId="0" fontId="0" fillId="3" borderId="30" xfId="0" applyFill="1" applyBorder="1"/>
    <xf numFmtId="0" fontId="43" fillId="3" borderId="0" xfId="0" applyFont="1" applyFill="1" applyAlignment="1">
      <alignment horizontal="right"/>
    </xf>
    <xf numFmtId="0" fontId="43" fillId="3" borderId="35" xfId="0" applyFont="1" applyFill="1" applyBorder="1" applyAlignment="1">
      <alignment horizontal="right"/>
    </xf>
    <xf numFmtId="0" fontId="0" fillId="3" borderId="39" xfId="0" applyFill="1" applyBorder="1"/>
    <xf numFmtId="0" fontId="0" fillId="3" borderId="8" xfId="0" applyFill="1" applyBorder="1"/>
    <xf numFmtId="0" fontId="24" fillId="3" borderId="40" xfId="0" applyFont="1" applyFill="1" applyBorder="1" applyAlignment="1">
      <alignment horizontal="right"/>
    </xf>
    <xf numFmtId="0" fontId="44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179" fontId="5" fillId="3" borderId="0" xfId="0" applyNumberFormat="1" applyFont="1" applyFill="1" applyAlignment="1">
      <alignment horizontal="left"/>
    </xf>
    <xf numFmtId="0" fontId="5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0" fillId="3" borderId="0" xfId="0" applyFont="1" applyFill="1"/>
    <xf numFmtId="172" fontId="0" fillId="3" borderId="30" xfId="0" applyNumberFormat="1" applyFill="1" applyBorder="1" applyAlignment="1">
      <alignment horizontal="right"/>
    </xf>
    <xf numFmtId="172" fontId="27" fillId="3" borderId="0" xfId="0" applyNumberFormat="1" applyFont="1" applyFill="1" applyAlignment="1">
      <alignment horizontal="right"/>
    </xf>
    <xf numFmtId="172" fontId="27" fillId="3" borderId="30" xfId="0" applyNumberFormat="1" applyFont="1" applyFill="1" applyBorder="1" applyAlignment="1">
      <alignment horizontal="right"/>
    </xf>
    <xf numFmtId="0" fontId="14" fillId="4" borderId="10" xfId="0" applyFont="1" applyFill="1" applyBorder="1" applyAlignment="1">
      <alignment vertical="center"/>
    </xf>
    <xf numFmtId="0" fontId="15" fillId="4" borderId="11" xfId="0" applyFont="1" applyFill="1" applyBorder="1"/>
    <xf numFmtId="0" fontId="15" fillId="4" borderId="12" xfId="0" applyFont="1" applyFill="1" applyBorder="1"/>
    <xf numFmtId="0" fontId="15" fillId="3" borderId="13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/>
    </xf>
    <xf numFmtId="0" fontId="9" fillId="3" borderId="14" xfId="0" applyFont="1" applyFill="1" applyBorder="1" applyAlignment="1">
      <alignment horizontal="right"/>
    </xf>
    <xf numFmtId="0" fontId="30" fillId="3" borderId="5" xfId="0" applyFont="1" applyFill="1" applyBorder="1" applyAlignment="1">
      <alignment horizontal="left" indent="1"/>
    </xf>
    <xf numFmtId="0" fontId="8" fillId="3" borderId="1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1" fillId="3" borderId="5" xfId="0" applyFont="1" applyFill="1" applyBorder="1" applyAlignment="1">
      <alignment horizontal="left" indent="1"/>
    </xf>
    <xf numFmtId="0" fontId="15" fillId="3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15" fillId="3" borderId="16" xfId="0" applyFont="1" applyFill="1" applyBorder="1"/>
    <xf numFmtId="172" fontId="8" fillId="3" borderId="17" xfId="0" applyNumberFormat="1" applyFont="1" applyFill="1" applyBorder="1" applyAlignment="1">
      <alignment horizontal="right"/>
    </xf>
    <xf numFmtId="0" fontId="0" fillId="3" borderId="7" xfId="0" applyFill="1" applyBorder="1"/>
    <xf numFmtId="44" fontId="9" fillId="3" borderId="17" xfId="2" applyFont="1" applyFill="1" applyBorder="1" applyAlignment="1">
      <alignment horizontal="right"/>
    </xf>
    <xf numFmtId="0" fontId="19" fillId="3" borderId="0" xfId="0" applyFont="1" applyFill="1" applyAlignment="1">
      <alignment horizontal="centerContinuous" vertical="center"/>
    </xf>
    <xf numFmtId="0" fontId="9" fillId="3" borderId="14" xfId="0" applyFont="1" applyFill="1" applyBorder="1" applyAlignment="1">
      <alignment horizontal="right" vertical="center"/>
    </xf>
    <xf numFmtId="0" fontId="8" fillId="3" borderId="13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15" fillId="3" borderId="0" xfId="0" applyFont="1" applyFill="1" applyAlignment="1">
      <alignment horizontal="centerContinuous"/>
    </xf>
    <xf numFmtId="0" fontId="8" fillId="3" borderId="5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15" fillId="3" borderId="16" xfId="0" applyFont="1" applyFill="1" applyBorder="1" applyAlignment="1">
      <alignment horizontal="centerContinuous"/>
    </xf>
    <xf numFmtId="0" fontId="32" fillId="3" borderId="7" xfId="0" applyFont="1" applyFill="1" applyBorder="1" applyAlignment="1">
      <alignment horizontal="left" indent="1"/>
    </xf>
    <xf numFmtId="0" fontId="15" fillId="3" borderId="0" xfId="0" applyFont="1" applyFill="1" applyAlignment="1">
      <alignment horizontal="left"/>
    </xf>
    <xf numFmtId="0" fontId="31" fillId="3" borderId="5" xfId="0" applyFont="1" applyFill="1" applyBorder="1"/>
    <xf numFmtId="0" fontId="17" fillId="3" borderId="0" xfId="0" applyFont="1" applyFill="1"/>
    <xf numFmtId="0" fontId="0" fillId="3" borderId="5" xfId="0" applyFill="1" applyBorder="1" applyAlignment="1">
      <alignment horizontal="left" indent="1"/>
    </xf>
    <xf numFmtId="0" fontId="23" fillId="5" borderId="13" xfId="0" applyFont="1" applyFill="1" applyBorder="1" applyAlignment="1">
      <alignment horizontal="left" vertical="center"/>
    </xf>
    <xf numFmtId="0" fontId="23" fillId="5" borderId="5" xfId="0" applyFont="1" applyFill="1" applyBorder="1" applyAlignment="1">
      <alignment horizontal="left" vertical="center"/>
    </xf>
    <xf numFmtId="0" fontId="31" fillId="3" borderId="5" xfId="0" applyFont="1" applyFill="1" applyBorder="1" applyAlignment="1">
      <alignment horizontal="left"/>
    </xf>
    <xf numFmtId="0" fontId="23" fillId="5" borderId="15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indent="1"/>
    </xf>
    <xf numFmtId="0" fontId="15" fillId="4" borderId="11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30" fillId="3" borderId="5" xfId="0" applyFont="1" applyFill="1" applyBorder="1"/>
    <xf numFmtId="0" fontId="8" fillId="3" borderId="15" xfId="0" applyFont="1" applyFill="1" applyBorder="1" applyAlignment="1">
      <alignment horizontal="left" vertical="center"/>
    </xf>
    <xf numFmtId="0" fontId="8" fillId="3" borderId="18" xfId="0" quotePrefix="1" applyFont="1" applyFill="1" applyBorder="1" applyAlignment="1">
      <alignment horizontal="left"/>
    </xf>
    <xf numFmtId="0" fontId="15" fillId="3" borderId="0" xfId="0" quotePrefix="1" applyFont="1" applyFill="1" applyAlignment="1">
      <alignment horizontal="left"/>
    </xf>
    <xf numFmtId="172" fontId="17" fillId="3" borderId="0" xfId="0" applyNumberFormat="1" applyFont="1" applyFill="1" applyAlignment="1">
      <alignment horizontal="right"/>
    </xf>
    <xf numFmtId="0" fontId="20" fillId="3" borderId="0" xfId="0" applyFont="1" applyFill="1"/>
    <xf numFmtId="0" fontId="22" fillId="5" borderId="13" xfId="0" applyFont="1" applyFill="1" applyBorder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15" fillId="5" borderId="0" xfId="0" applyFont="1" applyFill="1"/>
    <xf numFmtId="0" fontId="22" fillId="5" borderId="15" xfId="0" applyFont="1" applyFill="1" applyBorder="1" applyAlignment="1">
      <alignment horizontal="left" vertical="center"/>
    </xf>
    <xf numFmtId="0" fontId="22" fillId="5" borderId="16" xfId="0" applyFont="1" applyFill="1" applyBorder="1" applyAlignment="1">
      <alignment horizontal="left" vertical="center"/>
    </xf>
    <xf numFmtId="0" fontId="15" fillId="5" borderId="16" xfId="0" applyFont="1" applyFill="1" applyBorder="1"/>
    <xf numFmtId="0" fontId="18" fillId="3" borderId="0" xfId="0" applyFont="1" applyFill="1" applyAlignment="1">
      <alignment vertical="center"/>
    </xf>
    <xf numFmtId="0" fontId="19" fillId="3" borderId="0" xfId="0" applyFont="1" applyFill="1"/>
    <xf numFmtId="0" fontId="8" fillId="3" borderId="0" xfId="0" quotePrefix="1" applyFont="1" applyFill="1" applyAlignment="1">
      <alignment horizontal="left"/>
    </xf>
    <xf numFmtId="172" fontId="17" fillId="3" borderId="0" xfId="0" applyNumberFormat="1" applyFont="1" applyFill="1"/>
    <xf numFmtId="0" fontId="8" fillId="0" borderId="0" xfId="0" applyFont="1"/>
    <xf numFmtId="0" fontId="2" fillId="3" borderId="0" xfId="0" applyFont="1" applyFill="1" applyAlignment="1">
      <alignment horizontal="centerContinuous"/>
    </xf>
    <xf numFmtId="0" fontId="28" fillId="3" borderId="0" xfId="0" applyFont="1" applyFill="1" applyAlignment="1">
      <alignment horizontal="centerContinuous"/>
    </xf>
    <xf numFmtId="0" fontId="28" fillId="3" borderId="0" xfId="0" applyFont="1" applyFill="1"/>
    <xf numFmtId="0" fontId="20" fillId="3" borderId="0" xfId="0" applyFont="1" applyFill="1" applyAlignment="1">
      <alignment horizontal="center"/>
    </xf>
    <xf numFmtId="172" fontId="7" fillId="3" borderId="0" xfId="0" applyNumberFormat="1" applyFont="1" applyFill="1" applyAlignment="1">
      <alignment horizontal="right"/>
    </xf>
    <xf numFmtId="0" fontId="35" fillId="0" borderId="0" xfId="0" applyFont="1"/>
    <xf numFmtId="0" fontId="30" fillId="3" borderId="0" xfId="0" applyFont="1" applyFill="1" applyAlignment="1">
      <alignment horizontal="left" indent="1"/>
    </xf>
    <xf numFmtId="0" fontId="0" fillId="3" borderId="0" xfId="0" quotePrefix="1" applyFill="1" applyAlignment="1">
      <alignment horizontal="left" indent="1"/>
    </xf>
    <xf numFmtId="0" fontId="0" fillId="3" borderId="0" xfId="0" applyFill="1" applyAlignment="1">
      <alignment horizontal="left" indent="1"/>
    </xf>
    <xf numFmtId="172" fontId="37" fillId="3" borderId="0" xfId="0" applyNumberFormat="1" applyFont="1" applyFill="1"/>
    <xf numFmtId="0" fontId="0" fillId="3" borderId="2" xfId="0" applyFill="1" applyBorder="1" applyAlignment="1">
      <alignment horizontal="left" indent="1"/>
    </xf>
    <xf numFmtId="0" fontId="15" fillId="3" borderId="3" xfId="0" applyFont="1" applyFill="1" applyBorder="1"/>
    <xf numFmtId="0" fontId="24" fillId="3" borderId="0" xfId="0" applyFont="1" applyFill="1" applyAlignment="1">
      <alignment horizontal="left"/>
    </xf>
    <xf numFmtId="0" fontId="38" fillId="3" borderId="0" xfId="0" applyFont="1" applyFill="1"/>
    <xf numFmtId="172" fontId="27" fillId="3" borderId="0" xfId="0" applyNumberFormat="1" applyFont="1" applyFill="1"/>
    <xf numFmtId="0" fontId="38" fillId="3" borderId="0" xfId="0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36" fillId="3" borderId="0" xfId="0" applyFont="1" applyFill="1" applyAlignment="1">
      <alignment horizontal="left" indent="1"/>
    </xf>
    <xf numFmtId="0" fontId="35" fillId="3" borderId="0" xfId="0" applyFont="1" applyFill="1"/>
    <xf numFmtId="0" fontId="35" fillId="3" borderId="0" xfId="0" applyFont="1" applyFill="1" applyAlignment="1">
      <alignment horizontal="left" indent="1"/>
    </xf>
    <xf numFmtId="0" fontId="0" fillId="3" borderId="10" xfId="0" applyFill="1" applyBorder="1" applyAlignment="1">
      <alignment horizontal="left" indent="1"/>
    </xf>
    <xf numFmtId="0" fontId="0" fillId="3" borderId="3" xfId="0" applyFill="1" applyBorder="1"/>
    <xf numFmtId="0" fontId="0" fillId="3" borderId="11" xfId="0" applyFill="1" applyBorder="1"/>
    <xf numFmtId="0" fontId="0" fillId="3" borderId="13" xfId="0" applyFill="1" applyBorder="1" applyAlignment="1">
      <alignment horizontal="left" indent="1"/>
    </xf>
    <xf numFmtId="0" fontId="35" fillId="3" borderId="13" xfId="0" applyFont="1" applyFill="1" applyBorder="1" applyAlignment="1">
      <alignment horizontal="left" indent="1"/>
    </xf>
    <xf numFmtId="0" fontId="0" fillId="3" borderId="20" xfId="0" applyFill="1" applyBorder="1" applyAlignment="1">
      <alignment horizontal="left" indent="1"/>
    </xf>
    <xf numFmtId="0" fontId="0" fillId="3" borderId="16" xfId="0" applyFill="1" applyBorder="1"/>
    <xf numFmtId="0" fontId="0" fillId="3" borderId="2" xfId="0" applyFill="1" applyBorder="1"/>
    <xf numFmtId="0" fontId="2" fillId="3" borderId="27" xfId="0" applyFont="1" applyFill="1" applyBorder="1"/>
    <xf numFmtId="0" fontId="2" fillId="3" borderId="23" xfId="0" applyFont="1" applyFill="1" applyBorder="1"/>
    <xf numFmtId="0" fontId="40" fillId="0" borderId="23" xfId="0" applyFont="1" applyBorder="1" applyAlignment="1">
      <alignment horizontal="centerContinuous"/>
    </xf>
    <xf numFmtId="0" fontId="40" fillId="0" borderId="24" xfId="0" applyFont="1" applyBorder="1" applyAlignment="1">
      <alignment horizontal="centerContinuous"/>
    </xf>
    <xf numFmtId="172" fontId="0" fillId="3" borderId="4" xfId="0" applyNumberFormat="1" applyFill="1" applyBorder="1"/>
    <xf numFmtId="0" fontId="22" fillId="5" borderId="13" xfId="0" applyFont="1" applyFill="1" applyBorder="1" applyAlignment="1">
      <alignment vertical="center"/>
    </xf>
    <xf numFmtId="0" fontId="15" fillId="3" borderId="41" xfId="0" applyFont="1" applyFill="1" applyBorder="1"/>
    <xf numFmtId="0" fontId="20" fillId="3" borderId="41" xfId="0" applyFont="1" applyFill="1" applyBorder="1"/>
    <xf numFmtId="0" fontId="0" fillId="3" borderId="41" xfId="0" applyFill="1" applyBorder="1"/>
    <xf numFmtId="7" fontId="0" fillId="3" borderId="11" xfId="0" applyNumberFormat="1" applyFill="1" applyBorder="1"/>
    <xf numFmtId="7" fontId="0" fillId="3" borderId="0" xfId="0" applyNumberFormat="1" applyFill="1"/>
    <xf numFmtId="173" fontId="0" fillId="3" borderId="0" xfId="0" applyNumberFormat="1" applyFill="1"/>
    <xf numFmtId="176" fontId="0" fillId="3" borderId="16" xfId="0" applyNumberFormat="1" applyFill="1" applyBorder="1"/>
    <xf numFmtId="0" fontId="0" fillId="3" borderId="23" xfId="0" applyFill="1" applyBorder="1"/>
    <xf numFmtId="0" fontId="0" fillId="3" borderId="27" xfId="0" applyFill="1" applyBorder="1"/>
    <xf numFmtId="0" fontId="0" fillId="3" borderId="23" xfId="0" applyFill="1" applyBorder="1" applyAlignment="1">
      <alignment horizontal="centerContinuous"/>
    </xf>
    <xf numFmtId="0" fontId="0" fillId="3" borderId="24" xfId="0" applyFill="1" applyBorder="1" applyAlignment="1">
      <alignment horizontal="centerContinuous"/>
    </xf>
    <xf numFmtId="0" fontId="22" fillId="3" borderId="8" xfId="0" applyFont="1" applyFill="1" applyBorder="1" applyAlignment="1">
      <alignment horizontal="left" vertical="center"/>
    </xf>
    <xf numFmtId="173" fontId="9" fillId="3" borderId="8" xfId="0" applyNumberFormat="1" applyFont="1" applyFill="1" applyBorder="1" applyAlignment="1">
      <alignment horizontal="right"/>
    </xf>
    <xf numFmtId="0" fontId="16" fillId="5" borderId="23" xfId="0" applyFont="1" applyFill="1" applyBorder="1" applyAlignment="1">
      <alignment vertical="center"/>
    </xf>
    <xf numFmtId="0" fontId="15" fillId="5" borderId="23" xfId="0" applyFont="1" applyFill="1" applyBorder="1"/>
    <xf numFmtId="0" fontId="24" fillId="3" borderId="0" xfId="0" applyFont="1" applyFill="1"/>
    <xf numFmtId="182" fontId="9" fillId="5" borderId="17" xfId="0" applyNumberFormat="1" applyFont="1" applyFill="1" applyBorder="1" applyAlignment="1">
      <alignment horizontal="right"/>
    </xf>
    <xf numFmtId="0" fontId="45" fillId="3" borderId="5" xfId="0" applyFont="1" applyFill="1" applyBorder="1"/>
    <xf numFmtId="0" fontId="45" fillId="3" borderId="7" xfId="0" applyFont="1" applyFill="1" applyBorder="1"/>
    <xf numFmtId="7" fontId="15" fillId="3" borderId="8" xfId="0" applyNumberFormat="1" applyFont="1" applyFill="1" applyBorder="1"/>
    <xf numFmtId="173" fontId="0" fillId="3" borderId="9" xfId="0" applyNumberFormat="1" applyFill="1" applyBorder="1"/>
    <xf numFmtId="0" fontId="16" fillId="3" borderId="27" xfId="0" applyFont="1" applyFill="1" applyBorder="1"/>
    <xf numFmtId="0" fontId="28" fillId="3" borderId="23" xfId="0" applyFont="1" applyFill="1" applyBorder="1" applyAlignment="1">
      <alignment horizontal="centerContinuous"/>
    </xf>
    <xf numFmtId="0" fontId="28" fillId="3" borderId="24" xfId="0" applyFont="1" applyFill="1" applyBorder="1"/>
    <xf numFmtId="0" fontId="46" fillId="5" borderId="5" xfId="0" applyFont="1" applyFill="1" applyBorder="1"/>
    <xf numFmtId="0" fontId="8" fillId="5" borderId="0" xfId="0" applyFont="1" applyFill="1"/>
    <xf numFmtId="0" fontId="2" fillId="3" borderId="6" xfId="0" applyFont="1" applyFill="1" applyBorder="1"/>
    <xf numFmtId="0" fontId="47" fillId="5" borderId="5" xfId="0" applyFont="1" applyFill="1" applyBorder="1"/>
    <xf numFmtId="0" fontId="7" fillId="5" borderId="5" xfId="0" applyFont="1" applyFill="1" applyBorder="1"/>
    <xf numFmtId="0" fontId="48" fillId="5" borderId="7" xfId="0" applyFont="1" applyFill="1" applyBorder="1"/>
    <xf numFmtId="0" fontId="8" fillId="5" borderId="8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24" xfId="0" applyFont="1" applyFill="1" applyBorder="1"/>
    <xf numFmtId="0" fontId="7" fillId="5" borderId="27" xfId="0" applyFont="1" applyFill="1" applyBorder="1"/>
    <xf numFmtId="164" fontId="9" fillId="3" borderId="28" xfId="0" applyNumberFormat="1" applyFont="1" applyFill="1" applyBorder="1" applyAlignment="1">
      <alignment horizontal="center"/>
    </xf>
    <xf numFmtId="172" fontId="49" fillId="3" borderId="0" xfId="0" applyNumberFormat="1" applyFont="1" applyFill="1"/>
    <xf numFmtId="172" fontId="9" fillId="3" borderId="9" xfId="0" applyNumberFormat="1" applyFont="1" applyFill="1" applyBorder="1"/>
    <xf numFmtId="7" fontId="9" fillId="3" borderId="3" xfId="0" applyNumberFormat="1" applyFont="1" applyFill="1" applyBorder="1"/>
    <xf numFmtId="7" fontId="29" fillId="3" borderId="6" xfId="0" applyNumberFormat="1" applyFont="1" applyFill="1" applyBorder="1"/>
    <xf numFmtId="7" fontId="29" fillId="3" borderId="0" xfId="0" applyNumberFormat="1" applyFont="1" applyFill="1"/>
    <xf numFmtId="179" fontId="50" fillId="3" borderId="0" xfId="0" applyNumberFormat="1" applyFont="1" applyFill="1" applyAlignment="1">
      <alignment horizontal="center"/>
    </xf>
    <xf numFmtId="172" fontId="29" fillId="3" borderId="0" xfId="0" applyNumberFormat="1" applyFont="1" applyFill="1" applyAlignment="1">
      <alignment horizontal="right"/>
    </xf>
    <xf numFmtId="172" fontId="29" fillId="3" borderId="8" xfId="0" applyNumberFormat="1" applyFont="1" applyFill="1" applyBorder="1" applyAlignment="1">
      <alignment horizontal="right"/>
    </xf>
    <xf numFmtId="7" fontId="49" fillId="3" borderId="35" xfId="0" applyNumberFormat="1" applyFont="1" applyFill="1" applyBorder="1" applyAlignment="1">
      <alignment horizontal="right"/>
    </xf>
    <xf numFmtId="172" fontId="49" fillId="3" borderId="0" xfId="0" applyNumberFormat="1" applyFont="1" applyFill="1" applyAlignment="1">
      <alignment horizontal="right"/>
    </xf>
    <xf numFmtId="172" fontId="49" fillId="3" borderId="35" xfId="0" applyNumberFormat="1" applyFont="1" applyFill="1" applyBorder="1" applyAlignment="1">
      <alignment horizontal="right"/>
    </xf>
    <xf numFmtId="164" fontId="49" fillId="3" borderId="35" xfId="0" applyNumberFormat="1" applyFont="1" applyFill="1" applyBorder="1" applyAlignment="1">
      <alignment horizontal="right"/>
    </xf>
    <xf numFmtId="7" fontId="49" fillId="3" borderId="0" xfId="0" applyNumberFormat="1" applyFont="1" applyFill="1" applyAlignment="1">
      <alignment horizontal="right"/>
    </xf>
    <xf numFmtId="10" fontId="49" fillId="3" borderId="35" xfId="0" applyNumberFormat="1" applyFont="1" applyFill="1" applyBorder="1" applyAlignment="1">
      <alignment horizontal="right"/>
    </xf>
    <xf numFmtId="172" fontId="49" fillId="3" borderId="30" xfId="0" applyNumberFormat="1" applyFont="1" applyFill="1" applyBorder="1" applyAlignment="1">
      <alignment horizontal="right"/>
    </xf>
    <xf numFmtId="178" fontId="49" fillId="3" borderId="35" xfId="0" applyNumberFormat="1" applyFont="1" applyFill="1" applyBorder="1" applyAlignment="1">
      <alignment horizontal="right"/>
    </xf>
    <xf numFmtId="0" fontId="49" fillId="3" borderId="35" xfId="0" applyFont="1" applyFill="1" applyBorder="1" applyAlignment="1">
      <alignment horizontal="right"/>
    </xf>
    <xf numFmtId="0" fontId="51" fillId="3" borderId="0" xfId="0" applyFont="1" applyFill="1"/>
    <xf numFmtId="0" fontId="52" fillId="3" borderId="0" xfId="0" applyFont="1" applyFill="1" applyAlignment="1">
      <alignment horizontal="centerContinuous"/>
    </xf>
    <xf numFmtId="0" fontId="16" fillId="3" borderId="8" xfId="0" applyFont="1" applyFill="1" applyBorder="1" applyAlignment="1">
      <alignment horizontal="centerContinuous"/>
    </xf>
    <xf numFmtId="172" fontId="9" fillId="5" borderId="42" xfId="0" applyNumberFormat="1" applyFont="1" applyFill="1" applyBorder="1"/>
    <xf numFmtId="7" fontId="0" fillId="3" borderId="3" xfId="0" applyNumberFormat="1" applyFill="1" applyBorder="1"/>
    <xf numFmtId="176" fontId="0" fillId="3" borderId="8" xfId="0" applyNumberFormat="1" applyFill="1" applyBorder="1"/>
    <xf numFmtId="164" fontId="41" fillId="3" borderId="8" xfId="0" applyNumberFormat="1" applyFont="1" applyFill="1" applyBorder="1" applyAlignment="1">
      <alignment horizontal="centerContinuous" vertical="center"/>
    </xf>
    <xf numFmtId="164" fontId="15" fillId="3" borderId="8" xfId="0" applyNumberFormat="1" applyFont="1" applyFill="1" applyBorder="1" applyAlignment="1">
      <alignment horizontal="center"/>
    </xf>
    <xf numFmtId="164" fontId="41" fillId="3" borderId="0" xfId="0" applyNumberFormat="1" applyFont="1" applyFill="1" applyAlignment="1">
      <alignment horizontal="centerContinuous" vertical="center"/>
    </xf>
    <xf numFmtId="164" fontId="15" fillId="3" borderId="0" xfId="0" applyNumberFormat="1" applyFont="1" applyFill="1" applyAlignment="1">
      <alignment horizontal="center"/>
    </xf>
    <xf numFmtId="177" fontId="15" fillId="3" borderId="0" xfId="0" applyNumberFormat="1" applyFont="1" applyFill="1" applyAlignment="1">
      <alignment horizontal="center"/>
    </xf>
    <xf numFmtId="177" fontId="15" fillId="3" borderId="8" xfId="0" applyNumberFormat="1" applyFont="1" applyFill="1" applyBorder="1" applyAlignment="1">
      <alignment horizontal="center"/>
    </xf>
    <xf numFmtId="0" fontId="0" fillId="4" borderId="35" xfId="0" applyFill="1" applyBorder="1"/>
    <xf numFmtId="172" fontId="0" fillId="3" borderId="35" xfId="0" applyNumberFormat="1" applyFill="1" applyBorder="1" applyAlignment="1">
      <alignment horizontal="right"/>
    </xf>
    <xf numFmtId="0" fontId="0" fillId="3" borderId="43" xfId="0" applyFill="1" applyBorder="1"/>
    <xf numFmtId="7" fontId="27" fillId="3" borderId="6" xfId="0" applyNumberFormat="1" applyFont="1" applyFill="1" applyBorder="1"/>
    <xf numFmtId="7" fontId="27" fillId="3" borderId="22" xfId="0" applyNumberFormat="1" applyFont="1" applyFill="1" applyBorder="1" applyAlignment="1">
      <alignment horizontal="center"/>
    </xf>
    <xf numFmtId="7" fontId="30" fillId="3" borderId="22" xfId="0" applyNumberFormat="1" applyFont="1" applyFill="1" applyBorder="1" applyAlignment="1">
      <alignment horizontal="center"/>
    </xf>
    <xf numFmtId="7" fontId="27" fillId="3" borderId="4" xfId="0" applyNumberFormat="1" applyFont="1" applyFill="1" applyBorder="1"/>
    <xf numFmtId="0" fontId="0" fillId="5" borderId="0" xfId="0" applyFill="1"/>
    <xf numFmtId="0" fontId="53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54" fillId="5" borderId="0" xfId="0" applyFont="1" applyFill="1" applyAlignment="1">
      <alignment horizontal="centerContinuous"/>
    </xf>
    <xf numFmtId="0" fontId="56" fillId="5" borderId="0" xfId="0" applyFont="1" applyFill="1"/>
    <xf numFmtId="0" fontId="58" fillId="5" borderId="0" xfId="0" applyFont="1" applyFill="1"/>
    <xf numFmtId="0" fontId="0" fillId="5" borderId="0" xfId="0" applyFill="1" applyAlignment="1">
      <alignment horizontal="center"/>
    </xf>
    <xf numFmtId="0" fontId="55" fillId="5" borderId="0" xfId="0" applyFont="1" applyFill="1" applyAlignment="1">
      <alignment vertical="top" wrapText="1"/>
    </xf>
    <xf numFmtId="0" fontId="57" fillId="5" borderId="0" xfId="0" applyFont="1" applyFill="1" applyAlignment="1">
      <alignment vertical="top" wrapText="1"/>
    </xf>
    <xf numFmtId="0" fontId="59" fillId="5" borderId="0" xfId="0" applyFont="1" applyFill="1"/>
  </cellXfs>
  <cellStyles count="5">
    <cellStyle name="Comma" xfId="1" builtinId="3"/>
    <cellStyle name="Currency" xfId="2" builtinId="4"/>
    <cellStyle name="Normal" xfId="0" builtinId="0"/>
    <cellStyle name="Percent" xfId="3" builtinId="5"/>
    <cellStyle name="Title 2" xfId="4" xr:uid="{4E0453A0-7B8C-4038-B418-86D70F7B2A39}"/>
  </cellStyles>
  <dxfs count="0"/>
  <tableStyles count="0" defaultTableStyle="TableStyleMedium2" defaultPivotStyle="PivotStyleLight16"/>
  <colors>
    <mruColors>
      <color rgb="FF0000FF"/>
      <color rgb="FF002F6C"/>
      <color rgb="FF008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12A35D-D16D-4845-8EC5-DD499CEF8C2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6f51d37-e4e2-44fb-be32-2751982baa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536D-A30E-4BE7-A789-B1B72AA7F1AF}">
  <sheetPr>
    <pageSetUpPr fitToPage="1"/>
  </sheetPr>
  <dimension ref="A1:O44"/>
  <sheetViews>
    <sheetView tabSelected="1" topLeftCell="A11" workbookViewId="0">
      <selection activeCell="I14" sqref="I14"/>
    </sheetView>
  </sheetViews>
  <sheetFormatPr defaultColWidth="8.88671875" defaultRowHeight="14.4" x14ac:dyDescent="0.3"/>
  <cols>
    <col min="1" max="1" width="2" style="1" customWidth="1"/>
    <col min="2" max="2" width="36.44140625" style="4" customWidth="1"/>
    <col min="3" max="3" width="9.33203125" style="4" bestFit="1" customWidth="1"/>
    <col min="4" max="4" width="11.6640625" style="4" bestFit="1" customWidth="1"/>
    <col min="5" max="9" width="8.88671875" style="4"/>
    <col min="10" max="10" width="33.6640625" style="4" customWidth="1"/>
    <col min="11" max="16384" width="8.88671875" style="4"/>
  </cols>
  <sheetData>
    <row r="1" spans="1:15" s="3" customFormat="1" thickBot="1" x14ac:dyDescent="0.3">
      <c r="A1" s="144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s="3" customFormat="1" ht="13.8" x14ac:dyDescent="0.25">
      <c r="A2" s="1"/>
    </row>
    <row r="3" spans="1:15" s="3" customFormat="1" ht="13.8" x14ac:dyDescent="0.25">
      <c r="A3" s="1"/>
    </row>
    <row r="4" spans="1:15" s="3" customFormat="1" ht="13.8" x14ac:dyDescent="0.25">
      <c r="A4" s="1"/>
    </row>
    <row r="5" spans="1:15" s="3" customFormat="1" ht="13.8" x14ac:dyDescent="0.25">
      <c r="A5" s="1"/>
    </row>
    <row r="6" spans="1:15" s="3" customFormat="1" ht="13.8" x14ac:dyDescent="0.25">
      <c r="A6" s="1"/>
    </row>
    <row r="7" spans="1:15" s="3" customFormat="1" ht="13.8" x14ac:dyDescent="0.25">
      <c r="A7" s="1"/>
    </row>
    <row r="8" spans="1:15" s="3" customFormat="1" ht="13.8" x14ac:dyDescent="0.25">
      <c r="A8" s="1"/>
      <c r="K8" s="5"/>
    </row>
    <row r="9" spans="1:15" s="3" customFormat="1" ht="13.8" x14ac:dyDescent="0.25">
      <c r="A9" s="1"/>
    </row>
    <row r="10" spans="1:15" s="3" customFormat="1" ht="13.8" x14ac:dyDescent="0.25">
      <c r="A10" s="1"/>
    </row>
    <row r="11" spans="1:15" s="3" customFormat="1" ht="45" x14ac:dyDescent="0.75">
      <c r="A11" s="1"/>
      <c r="B11" s="6" t="s">
        <v>1</v>
      </c>
      <c r="K11" s="7"/>
    </row>
    <row r="12" spans="1:15" s="3" customFormat="1" ht="13.8" x14ac:dyDescent="0.25">
      <c r="A12" s="1"/>
      <c r="B12" s="8"/>
      <c r="K12" s="2"/>
    </row>
    <row r="13" spans="1:15" s="3" customFormat="1" ht="13.8" x14ac:dyDescent="0.25">
      <c r="A13" s="1"/>
      <c r="B13" s="3" t="s">
        <v>2</v>
      </c>
      <c r="K13" s="9"/>
    </row>
    <row r="14" spans="1:15" s="3" customFormat="1" ht="13.8" x14ac:dyDescent="0.25">
      <c r="A14" s="1"/>
      <c r="K14" s="2"/>
    </row>
    <row r="15" spans="1:15" s="3" customFormat="1" ht="13.8" x14ac:dyDescent="0.25">
      <c r="A15" s="1"/>
      <c r="B15" s="146" t="s">
        <v>226</v>
      </c>
    </row>
    <row r="16" spans="1:15" s="3" customFormat="1" ht="13.8" x14ac:dyDescent="0.25">
      <c r="A16" s="1"/>
      <c r="B16" s="146" t="s">
        <v>227</v>
      </c>
    </row>
    <row r="17" spans="1:10" s="3" customFormat="1" ht="13.8" x14ac:dyDescent="0.25">
      <c r="A17" s="1"/>
    </row>
    <row r="18" spans="1:10" s="3" customFormat="1" ht="13.8" x14ac:dyDescent="0.25">
      <c r="A18" s="1"/>
      <c r="B18" s="147" t="s">
        <v>0</v>
      </c>
    </row>
    <row r="19" spans="1:10" s="3" customFormat="1" ht="13.8" x14ac:dyDescent="0.25">
      <c r="A19" s="1"/>
      <c r="B19" s="150"/>
    </row>
    <row r="20" spans="1:10" s="3" customFormat="1" ht="13.8" x14ac:dyDescent="0.25">
      <c r="A20" s="1"/>
      <c r="B20" s="265" t="s">
        <v>216</v>
      </c>
      <c r="C20" s="266" t="s">
        <v>217</v>
      </c>
      <c r="D20" s="267" t="s">
        <v>218</v>
      </c>
    </row>
    <row r="21" spans="1:10" s="3" customFormat="1" x14ac:dyDescent="0.3">
      <c r="A21" s="1"/>
      <c r="B21" s="261" t="str">
        <f>"Is "&amp;IF('Accretion Dilution'!M38&gt;0,"accretive","dilutive")&amp;" on a GAAP basis"</f>
        <v>Is dilutive on a GAAP basis</v>
      </c>
      <c r="C21" s="37">
        <f>'Accretion Dilution'!M38</f>
        <v>-0.67907886601802225</v>
      </c>
      <c r="D21" s="116">
        <f>'Accretion Dilution'!M39</f>
        <v>-9.3152107821402236E-2</v>
      </c>
    </row>
    <row r="22" spans="1:10" s="3" customFormat="1" x14ac:dyDescent="0.3">
      <c r="A22" s="1"/>
      <c r="B22" s="261" t="str">
        <f>"Is "&amp;IF('Accretion Dilution'!N38&gt;0,"accretive","dilutive")&amp;" on a cash basis"</f>
        <v>Is accretive on a cash basis</v>
      </c>
      <c r="C22" s="37">
        <f>'Accretion Dilution'!N38</f>
        <v>0.5678843609424522</v>
      </c>
      <c r="D22" s="116">
        <f>'Accretion Dilution'!N39</f>
        <v>7.7899089292517446E-2</v>
      </c>
    </row>
    <row r="23" spans="1:10" s="3" customFormat="1" x14ac:dyDescent="0.3">
      <c r="A23" s="1"/>
      <c r="B23" s="261" t="str">
        <f>"Is "&amp;IF('Accretion Dilution'!N39&gt;0,"accretive","dilutive")&amp;" on an adjusted basis"</f>
        <v>Is accretive on an adjusted basis</v>
      </c>
      <c r="C23" s="37">
        <f>'Accretion Dilution'!O38</f>
        <v>1.0608731045281026</v>
      </c>
      <c r="D23" s="116">
        <f>'Accretion Dilution'!O39</f>
        <v>0.10289553959983169</v>
      </c>
    </row>
    <row r="24" spans="1:10" s="3" customFormat="1" x14ac:dyDescent="0.3">
      <c r="A24" s="1"/>
      <c r="B24" s="262" t="s">
        <v>289</v>
      </c>
      <c r="C24" s="263"/>
      <c r="D24" s="264"/>
    </row>
    <row r="25" spans="1:10" s="3" customFormat="1" ht="13.8" x14ac:dyDescent="0.25">
      <c r="A25" s="1"/>
      <c r="B25" s="150"/>
    </row>
    <row r="26" spans="1:10" s="3" customFormat="1" ht="13.8" x14ac:dyDescent="0.25">
      <c r="A26" s="1"/>
      <c r="B26" s="278" t="s">
        <v>223</v>
      </c>
      <c r="C26" s="239"/>
      <c r="D26" s="239"/>
      <c r="E26" s="239"/>
      <c r="F26" s="239"/>
      <c r="G26" s="239"/>
      <c r="H26" s="239"/>
      <c r="I26" s="239"/>
      <c r="J26" s="277"/>
    </row>
    <row r="27" spans="1:10" s="3" customFormat="1" ht="13.8" x14ac:dyDescent="0.25">
      <c r="A27" s="1"/>
      <c r="B27" s="268" t="s">
        <v>219</v>
      </c>
      <c r="C27" s="269" t="s">
        <v>228</v>
      </c>
      <c r="J27" s="270"/>
    </row>
    <row r="28" spans="1:10" s="3" customFormat="1" ht="13.8" x14ac:dyDescent="0.25">
      <c r="A28" s="1"/>
      <c r="B28" s="271" t="s">
        <v>220</v>
      </c>
      <c r="C28" s="269" t="s">
        <v>230</v>
      </c>
      <c r="J28" s="270"/>
    </row>
    <row r="29" spans="1:10" s="3" customFormat="1" ht="13.8" x14ac:dyDescent="0.25">
      <c r="A29" s="1"/>
      <c r="B29" s="272" t="s">
        <v>221</v>
      </c>
      <c r="C29" s="269" t="s">
        <v>229</v>
      </c>
      <c r="J29" s="270"/>
    </row>
    <row r="30" spans="1:10" s="3" customFormat="1" ht="13.8" x14ac:dyDescent="0.25">
      <c r="A30" s="1"/>
      <c r="B30" s="273" t="s">
        <v>222</v>
      </c>
      <c r="C30" s="274" t="s">
        <v>224</v>
      </c>
      <c r="D30" s="275"/>
      <c r="E30" s="275"/>
      <c r="F30" s="275"/>
      <c r="G30" s="275"/>
      <c r="H30" s="275"/>
      <c r="I30" s="275"/>
      <c r="J30" s="276"/>
    </row>
    <row r="31" spans="1:10" s="3" customFormat="1" ht="13.8" x14ac:dyDescent="0.25">
      <c r="A31" s="1"/>
      <c r="B31" s="150"/>
    </row>
    <row r="32" spans="1:10" s="3" customFormat="1" ht="13.8" x14ac:dyDescent="0.25">
      <c r="A32" s="1"/>
      <c r="B32" s="297" t="s">
        <v>231</v>
      </c>
    </row>
    <row r="33" spans="1:15" s="3" customFormat="1" ht="13.8" x14ac:dyDescent="0.25">
      <c r="A33" s="1"/>
      <c r="B33" s="150"/>
    </row>
    <row r="34" spans="1:15" s="3" customFormat="1" ht="13.8" x14ac:dyDescent="0.25">
      <c r="A34" s="1" t="s">
        <v>225</v>
      </c>
      <c r="B34" s="150"/>
    </row>
    <row r="35" spans="1:15" s="3" customFormat="1" ht="13.8" x14ac:dyDescent="0.25">
      <c r="A35" s="1"/>
      <c r="B35" s="150"/>
    </row>
    <row r="36" spans="1:15" s="3" customFormat="1" ht="13.8" x14ac:dyDescent="0.25">
      <c r="A36" s="1"/>
      <c r="B36" s="150"/>
    </row>
    <row r="37" spans="1:15" s="3" customFormat="1" ht="13.8" x14ac:dyDescent="0.25">
      <c r="A37" s="1"/>
      <c r="B37" s="150"/>
    </row>
    <row r="38" spans="1:15" s="3" customFormat="1" ht="13.8" x14ac:dyDescent="0.25">
      <c r="A38" s="1"/>
    </row>
    <row r="39" spans="1:15" s="3" customFormat="1" thickBo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</row>
    <row r="40" spans="1:15" s="3" customFormat="1" x14ac:dyDescent="0.3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5" s="3" customFormat="1" ht="13.8" x14ac:dyDescent="0.25">
      <c r="A41" s="1"/>
    </row>
    <row r="42" spans="1:15" s="3" customFormat="1" ht="13.8" x14ac:dyDescent="0.25">
      <c r="A42" s="1"/>
    </row>
    <row r="43" spans="1:15" s="3" customFormat="1" ht="13.8" x14ac:dyDescent="0.25">
      <c r="A43" s="1"/>
    </row>
    <row r="44" spans="1:15" s="3" customFormat="1" ht="13.8" x14ac:dyDescent="0.25">
      <c r="A44" s="1"/>
    </row>
  </sheetData>
  <printOptions horizontalCentered="1"/>
  <pageMargins left="0.25" right="0.25" top="0.30555555555555558" bottom="0.30555555555555558" header="0.16666666666666666" footer="0.16666666666666666"/>
  <pageSetup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B068-5D24-433E-98A2-4CF13D1ADC87}">
  <sheetPr>
    <pageSetUpPr fitToPage="1"/>
  </sheetPr>
  <dimension ref="A1:O44"/>
  <sheetViews>
    <sheetView workbookViewId="0">
      <selection activeCell="E12" sqref="E12"/>
    </sheetView>
  </sheetViews>
  <sheetFormatPr defaultColWidth="8.88671875" defaultRowHeight="14.4" x14ac:dyDescent="0.3"/>
  <cols>
    <col min="1" max="1" width="2" style="1" customWidth="1"/>
    <col min="2" max="2" width="28.5546875" style="4" customWidth="1"/>
    <col min="3" max="4" width="1.88671875" style="4" customWidth="1"/>
    <col min="5" max="5" width="14.88671875" style="4" customWidth="1"/>
    <col min="6" max="6" width="3.88671875" style="4" customWidth="1"/>
    <col min="7" max="7" width="31.88671875" style="4" customWidth="1"/>
    <col min="8" max="8" width="14.109375" style="4" customWidth="1"/>
    <col min="9" max="9" width="7.6640625" style="4" customWidth="1"/>
    <col min="10" max="11" width="12.5546875" style="4" customWidth="1"/>
    <col min="12" max="12" width="11.44140625" style="4" customWidth="1"/>
    <col min="13" max="14" width="2.44140625" style="4" customWidth="1"/>
    <col min="15" max="15" width="2.6640625" style="4" customWidth="1"/>
    <col min="16" max="16384" width="8.88671875" style="4"/>
  </cols>
  <sheetData>
    <row r="1" spans="2:15" ht="6" customHeight="1" x14ac:dyDescent="0.3"/>
    <row r="2" spans="2:15" ht="22.8" x14ac:dyDescent="0.4">
      <c r="B2" s="298" t="str">
        <f>Cover!B11</f>
        <v xml:space="preserve">Regal Rexnord - Altra 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ht="23.4" thickBot="1" x14ac:dyDescent="0.45">
      <c r="B3" s="15" t="s">
        <v>180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x14ac:dyDescent="0.3">
      <c r="B4" s="245" t="s">
        <v>72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</row>
    <row r="6" spans="2:15" x14ac:dyDescent="0.3">
      <c r="B6" s="126" t="s">
        <v>181</v>
      </c>
      <c r="C6" s="127"/>
      <c r="D6" s="127"/>
      <c r="E6" s="128"/>
      <c r="G6" s="126" t="s">
        <v>215</v>
      </c>
      <c r="H6" s="127"/>
      <c r="I6" s="127"/>
      <c r="J6" s="129" t="s">
        <v>193</v>
      </c>
      <c r="K6" s="129" t="s">
        <v>192</v>
      </c>
      <c r="L6" s="130" t="s">
        <v>242</v>
      </c>
    </row>
    <row r="7" spans="2:15" x14ac:dyDescent="0.3">
      <c r="B7" s="131" t="s">
        <v>18</v>
      </c>
      <c r="E7" s="288">
        <f>Assumptions!H26</f>
        <v>62</v>
      </c>
      <c r="G7" s="131" t="s">
        <v>194</v>
      </c>
      <c r="J7" s="289">
        <f>'Accretion Dilution'!M33</f>
        <v>443.35793448611639</v>
      </c>
      <c r="K7" s="289">
        <f>'Accretion Dilution'!N33</f>
        <v>526.98486475511174</v>
      </c>
      <c r="L7" s="290">
        <f>'Accretion Dilution'!O33</f>
        <v>762.5946944861164</v>
      </c>
    </row>
    <row r="8" spans="2:15" x14ac:dyDescent="0.3">
      <c r="B8" s="131" t="s">
        <v>182</v>
      </c>
      <c r="E8" s="296" t="str">
        <f>TEXT(Assumptions!H29,"0%")&amp;" Cash"</f>
        <v>100% Cash</v>
      </c>
      <c r="G8" s="131" t="s">
        <v>195</v>
      </c>
      <c r="J8" s="289">
        <f>'Accretion Dilution'!M34</f>
        <v>67.064471879286685</v>
      </c>
      <c r="K8" s="289">
        <f>'Accretion Dilution'!N34</f>
        <v>67.064471879286685</v>
      </c>
      <c r="L8" s="290">
        <f>'Accretion Dilution'!O34</f>
        <v>67.064471879286685</v>
      </c>
    </row>
    <row r="9" spans="2:15" x14ac:dyDescent="0.3">
      <c r="B9" s="131" t="s">
        <v>183</v>
      </c>
      <c r="E9" s="291">
        <f>Assumptions!H25</f>
        <v>0.53999006458022869</v>
      </c>
      <c r="G9" s="131" t="s">
        <v>196</v>
      </c>
      <c r="J9" s="133">
        <f>J7/J8</f>
        <v>6.6109211339819778</v>
      </c>
      <c r="K9" s="133">
        <f>K7/K8</f>
        <v>7.8578843609424522</v>
      </c>
      <c r="L9" s="134">
        <f>L7/L8</f>
        <v>11.371068363272222</v>
      </c>
    </row>
    <row r="10" spans="2:15" x14ac:dyDescent="0.3">
      <c r="B10" s="131" t="s">
        <v>184</v>
      </c>
      <c r="E10" s="290">
        <f>Assumptions!H27</f>
        <v>4101.3399259999997</v>
      </c>
      <c r="G10" s="131" t="s">
        <v>165</v>
      </c>
      <c r="J10" s="292">
        <f>'Accretion Dilution'!M37</f>
        <v>7.29</v>
      </c>
      <c r="K10" s="292">
        <f>'Accretion Dilution'!N37</f>
        <v>7.29</v>
      </c>
      <c r="L10" s="288">
        <f>'Accretion Dilution'!O37</f>
        <v>10.31019525874412</v>
      </c>
    </row>
    <row r="11" spans="2:15" x14ac:dyDescent="0.3">
      <c r="B11" s="131" t="s">
        <v>185</v>
      </c>
      <c r="E11" s="290">
        <f>Assumptions!H27+'Pro Forma BS'!I40</f>
        <v>4936.939926</v>
      </c>
      <c r="G11" s="131" t="s">
        <v>197</v>
      </c>
      <c r="J11" s="133">
        <f>J9-J10</f>
        <v>-0.67907886601802225</v>
      </c>
      <c r="K11" s="133">
        <f>K9-K10</f>
        <v>0.5678843609424522</v>
      </c>
      <c r="L11" s="134">
        <f>L9-L10</f>
        <v>1.0608731045281026</v>
      </c>
    </row>
    <row r="12" spans="2:15" x14ac:dyDescent="0.3">
      <c r="B12" s="135" t="s">
        <v>279</v>
      </c>
      <c r="E12" s="76">
        <f>E11/'Pro Forma BS'!I44</f>
        <v>12.707696077220078</v>
      </c>
      <c r="G12" s="131" t="s">
        <v>198</v>
      </c>
      <c r="J12" s="77">
        <f>J11/J10</f>
        <v>-9.3152107821402236E-2</v>
      </c>
      <c r="K12" s="77">
        <f>K11/K10</f>
        <v>7.7899089292517446E-2</v>
      </c>
      <c r="L12" s="78">
        <f>L11/L10</f>
        <v>0.10289553959983169</v>
      </c>
    </row>
    <row r="13" spans="2:15" x14ac:dyDescent="0.3">
      <c r="B13" s="136"/>
      <c r="C13" s="137"/>
      <c r="D13" s="137"/>
      <c r="E13" s="75"/>
      <c r="G13" s="136" t="s">
        <v>199</v>
      </c>
      <c r="H13" s="137"/>
      <c r="I13" s="137"/>
      <c r="J13" s="151">
        <f>MAX(0,-(J11*J8/(1-Assumptions!H64)))</f>
        <v>56.503803367101163</v>
      </c>
      <c r="K13" s="151">
        <f>MAX(0,-(K11*K8/(1-Assumptions!H64)))</f>
        <v>0</v>
      </c>
      <c r="L13" s="310">
        <f>MAX(0,-(L11*L8/(1-Assumptions!H64)))</f>
        <v>0</v>
      </c>
    </row>
    <row r="14" spans="2:15" x14ac:dyDescent="0.3">
      <c r="L14" s="311"/>
    </row>
    <row r="15" spans="2:15" x14ac:dyDescent="0.3">
      <c r="B15" s="126" t="s">
        <v>6</v>
      </c>
      <c r="C15" s="127"/>
      <c r="D15" s="127"/>
      <c r="E15" s="128"/>
      <c r="G15" s="126" t="s">
        <v>200</v>
      </c>
      <c r="H15" s="127"/>
      <c r="I15" s="127"/>
      <c r="J15" s="127"/>
      <c r="K15" s="127"/>
      <c r="L15" s="309"/>
    </row>
    <row r="16" spans="2:15" x14ac:dyDescent="0.3">
      <c r="B16" s="131" t="s">
        <v>186</v>
      </c>
      <c r="E16" s="290">
        <f>Assumptions!H51</f>
        <v>4892.9115371265143</v>
      </c>
      <c r="G16" s="131"/>
      <c r="I16" s="138" t="s">
        <v>201</v>
      </c>
      <c r="J16" s="138" t="s">
        <v>202</v>
      </c>
      <c r="K16" s="138" t="s">
        <v>203</v>
      </c>
      <c r="L16" s="139" t="s">
        <v>204</v>
      </c>
    </row>
    <row r="17" spans="1:15" x14ac:dyDescent="0.3">
      <c r="B17" s="131" t="s">
        <v>187</v>
      </c>
      <c r="E17" s="293">
        <f>Assumptions!H56</f>
        <v>6.2E-2</v>
      </c>
      <c r="G17" s="131" t="s">
        <v>205</v>
      </c>
      <c r="I17" s="289">
        <f>Assumptions!N56</f>
        <v>2695.6824259999994</v>
      </c>
      <c r="J17" s="152">
        <v>2614.6</v>
      </c>
      <c r="K17" s="132">
        <f>I17-J17</f>
        <v>81.082425999999487</v>
      </c>
      <c r="L17" s="78">
        <f>K17/J17</f>
        <v>3.1011407481067656E-2</v>
      </c>
    </row>
    <row r="18" spans="1:15" x14ac:dyDescent="0.3">
      <c r="B18" s="131" t="s">
        <v>188</v>
      </c>
      <c r="E18" s="290">
        <f>'Pro Forma BS'!N36</f>
        <v>6916.4115371265152</v>
      </c>
      <c r="G18" s="136" t="s">
        <v>206</v>
      </c>
      <c r="H18" s="137"/>
      <c r="I18" s="294">
        <f>Assumptions!H27</f>
        <v>4101.3399259999997</v>
      </c>
      <c r="J18" s="153">
        <v>4110</v>
      </c>
      <c r="K18" s="151">
        <f>I18-J18</f>
        <v>-8.6600740000003498</v>
      </c>
      <c r="L18" s="79">
        <f>K18/J18</f>
        <v>-2.1070739659368246E-3</v>
      </c>
    </row>
    <row r="19" spans="1:15" x14ac:dyDescent="0.3">
      <c r="B19" s="131" t="s">
        <v>189</v>
      </c>
      <c r="E19" s="290">
        <f>'Pro Forma BS'!N40</f>
        <v>6422.5321304665149</v>
      </c>
    </row>
    <row r="20" spans="1:15" x14ac:dyDescent="0.3">
      <c r="B20" s="131" t="s">
        <v>280</v>
      </c>
      <c r="E20" s="295">
        <f>'Pro Forma BS'!N46</f>
        <v>4.6103263145757332</v>
      </c>
    </row>
    <row r="21" spans="1:15" x14ac:dyDescent="0.3">
      <c r="B21" s="131" t="s">
        <v>281</v>
      </c>
      <c r="E21" s="295">
        <f>'Pro Forma BS'!N40/'Pro Forma BS'!N45</f>
        <v>3.8685291714651937</v>
      </c>
    </row>
    <row r="22" spans="1:15" x14ac:dyDescent="0.3">
      <c r="A22" s="3"/>
      <c r="B22" s="140" t="s">
        <v>190</v>
      </c>
      <c r="C22" s="141"/>
      <c r="D22" s="141"/>
      <c r="E22" s="142" t="s">
        <v>191</v>
      </c>
    </row>
    <row r="24" spans="1:15" x14ac:dyDescent="0.3">
      <c r="B24" s="143" t="s">
        <v>243</v>
      </c>
    </row>
    <row r="25" spans="1:15" x14ac:dyDescent="0.3">
      <c r="B25" s="143" t="s">
        <v>244</v>
      </c>
    </row>
    <row r="26" spans="1:15" x14ac:dyDescent="0.3">
      <c r="B26" s="143" t="s">
        <v>245</v>
      </c>
    </row>
    <row r="27" spans="1:15" x14ac:dyDescent="0.3"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</row>
    <row r="44" spans="1:1" ht="15" thickBot="1" x14ac:dyDescent="0.35">
      <c r="A44" s="144"/>
    </row>
  </sheetData>
  <printOptions horizontalCentered="1"/>
  <pageMargins left="0.25" right="0.25" top="0.30555555555555558" bottom="0.30555555555555558" header="0.16666666666666666" footer="0.16666666666666666"/>
  <pageSetup scale="9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AA95-A788-4453-8765-AC07DDF644A3}">
  <sheetPr>
    <pageSetUpPr fitToPage="1"/>
  </sheetPr>
  <dimension ref="A2:O74"/>
  <sheetViews>
    <sheetView topLeftCell="A57" workbookViewId="0">
      <selection activeCell="N60" sqref="N60"/>
    </sheetView>
  </sheetViews>
  <sheetFormatPr defaultColWidth="8.88671875" defaultRowHeight="14.4" x14ac:dyDescent="0.3"/>
  <cols>
    <col min="1" max="1" width="2" style="1" customWidth="1"/>
    <col min="2" max="2" width="3" style="4" customWidth="1"/>
    <col min="3" max="7" width="8.88671875" style="4"/>
    <col min="8" max="8" width="12.33203125" style="4" bestFit="1" customWidth="1"/>
    <col min="9" max="9" width="8.88671875" style="4" customWidth="1"/>
    <col min="10" max="10" width="12.88671875" style="4" customWidth="1"/>
    <col min="11" max="11" width="10.5546875" style="4" customWidth="1"/>
    <col min="12" max="12" width="11.6640625" style="4" customWidth="1"/>
    <col min="13" max="13" width="10.6640625" style="4" customWidth="1"/>
    <col min="14" max="14" width="11.33203125" style="4" bestFit="1" customWidth="1"/>
    <col min="15" max="15" width="2.6640625" style="4" customWidth="1"/>
    <col min="16" max="16384" width="8.88671875" style="4"/>
  </cols>
  <sheetData>
    <row r="2" spans="2:15" ht="22.8" x14ac:dyDescent="0.4">
      <c r="B2" s="298" t="str">
        <f>Cover!B11</f>
        <v xml:space="preserve">Regal Rexnord - Altra 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ht="23.4" thickBot="1" x14ac:dyDescent="0.45">
      <c r="B3" s="15" t="s">
        <v>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x14ac:dyDescent="0.3">
      <c r="B4" s="245" t="s">
        <v>72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</row>
    <row r="6" spans="2:15" x14ac:dyDescent="0.3">
      <c r="C6" s="154" t="s">
        <v>47</v>
      </c>
      <c r="D6" s="155"/>
      <c r="E6" s="155"/>
      <c r="F6" s="155"/>
      <c r="G6" s="155"/>
      <c r="H6" s="156"/>
      <c r="I6" s="10"/>
      <c r="J6" s="154" t="s">
        <v>8</v>
      </c>
      <c r="K6" s="155"/>
      <c r="L6" s="155"/>
      <c r="M6" s="155"/>
      <c r="N6" s="156"/>
    </row>
    <row r="7" spans="2:15" x14ac:dyDescent="0.3">
      <c r="C7" s="157" t="s">
        <v>11</v>
      </c>
      <c r="D7" s="158"/>
      <c r="E7" s="158"/>
      <c r="F7" s="158"/>
      <c r="G7" s="159"/>
      <c r="H7" s="160" t="s">
        <v>48</v>
      </c>
      <c r="I7" s="10"/>
      <c r="J7" s="161" t="s">
        <v>75</v>
      </c>
      <c r="K7" s="23"/>
      <c r="L7" s="10"/>
      <c r="M7" s="24"/>
      <c r="N7" s="98">
        <f>H45</f>
        <v>3732.21933266</v>
      </c>
    </row>
    <row r="8" spans="2:15" x14ac:dyDescent="0.3">
      <c r="C8" s="162" t="s">
        <v>12</v>
      </c>
      <c r="D8" s="163"/>
      <c r="E8" s="163"/>
      <c r="F8" s="163"/>
      <c r="G8" s="10"/>
      <c r="H8" s="160" t="s">
        <v>49</v>
      </c>
      <c r="I8" s="10"/>
      <c r="J8" s="161" t="s">
        <v>76</v>
      </c>
      <c r="K8" s="23"/>
      <c r="L8" s="10"/>
      <c r="M8" s="24"/>
      <c r="N8" s="98">
        <f>H50</f>
        <v>1044.5</v>
      </c>
    </row>
    <row r="9" spans="2:15" x14ac:dyDescent="0.3">
      <c r="C9" s="157" t="s">
        <v>13</v>
      </c>
      <c r="D9" s="158"/>
      <c r="E9" s="158"/>
      <c r="F9" s="158"/>
      <c r="G9" s="10"/>
      <c r="H9" s="111">
        <v>44981</v>
      </c>
      <c r="I9" s="10"/>
      <c r="J9" s="161" t="s">
        <v>77</v>
      </c>
      <c r="K9" s="10"/>
      <c r="L9" s="10"/>
      <c r="M9" s="10"/>
      <c r="N9" s="98">
        <f>H46</f>
        <v>369.12059333999986</v>
      </c>
    </row>
    <row r="10" spans="2:15" x14ac:dyDescent="0.3">
      <c r="C10" s="157" t="s">
        <v>109</v>
      </c>
      <c r="D10" s="158"/>
      <c r="E10" s="158"/>
      <c r="F10" s="158"/>
      <c r="G10" s="10"/>
      <c r="H10" s="160" t="s">
        <v>50</v>
      </c>
      <c r="I10" s="10"/>
      <c r="J10" s="161" t="s">
        <v>78</v>
      </c>
      <c r="K10" s="10"/>
      <c r="L10" s="10"/>
      <c r="M10" s="10"/>
      <c r="N10" s="98">
        <f>H28*H27</f>
        <v>0</v>
      </c>
    </row>
    <row r="11" spans="2:15" x14ac:dyDescent="0.3">
      <c r="C11" s="157" t="s">
        <v>14</v>
      </c>
      <c r="D11" s="158"/>
      <c r="E11" s="158"/>
      <c r="F11" s="158"/>
      <c r="G11" s="10"/>
      <c r="H11" s="11">
        <v>149.66</v>
      </c>
      <c r="I11" s="10"/>
      <c r="J11" s="161" t="s">
        <v>139</v>
      </c>
      <c r="K11" s="10"/>
      <c r="L11" s="10"/>
      <c r="M11" s="10"/>
      <c r="N11" s="98">
        <f>H54+H61</f>
        <v>116.19220446651499</v>
      </c>
    </row>
    <row r="12" spans="2:15" x14ac:dyDescent="0.3">
      <c r="C12" s="157" t="s">
        <v>15</v>
      </c>
      <c r="D12" s="158"/>
      <c r="E12" s="158"/>
      <c r="F12" s="158"/>
      <c r="G12" s="10"/>
      <c r="H12" s="52">
        <f>Shares!N15</f>
        <v>66.811715904182805</v>
      </c>
      <c r="I12" s="10"/>
      <c r="J12" s="164" t="s">
        <v>79</v>
      </c>
      <c r="K12" s="10"/>
      <c r="L12" s="10"/>
      <c r="M12" s="10"/>
      <c r="N12" s="98">
        <f>SUM(N7:N11)</f>
        <v>5262.0321304665149</v>
      </c>
    </row>
    <row r="13" spans="2:15" x14ac:dyDescent="0.3">
      <c r="C13" s="165" t="s">
        <v>16</v>
      </c>
      <c r="D13" s="166"/>
      <c r="E13" s="166"/>
      <c r="F13" s="166"/>
      <c r="G13" s="167"/>
      <c r="H13" s="168">
        <f>H11*H12</f>
        <v>9999.0414022199984</v>
      </c>
      <c r="I13" s="10"/>
      <c r="J13" s="169"/>
      <c r="K13" s="167"/>
      <c r="L13" s="167"/>
      <c r="M13" s="167"/>
      <c r="N13" s="170"/>
    </row>
    <row r="14" spans="2:15" x14ac:dyDescent="0.3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24"/>
      <c r="N14" s="25"/>
    </row>
    <row r="15" spans="2:15" x14ac:dyDescent="0.3">
      <c r="C15" s="154" t="s">
        <v>4</v>
      </c>
      <c r="D15" s="155"/>
      <c r="E15" s="155"/>
      <c r="F15" s="155"/>
      <c r="G15" s="155"/>
      <c r="H15" s="156"/>
      <c r="I15" s="10"/>
      <c r="J15" s="154" t="s">
        <v>9</v>
      </c>
      <c r="K15" s="155"/>
      <c r="L15" s="155"/>
      <c r="M15" s="155"/>
      <c r="N15" s="156"/>
    </row>
    <row r="16" spans="2:15" x14ac:dyDescent="0.3">
      <c r="C16" s="162" t="s">
        <v>11</v>
      </c>
      <c r="D16" s="163"/>
      <c r="E16" s="163"/>
      <c r="F16" s="163"/>
      <c r="G16" s="171"/>
      <c r="H16" s="172" t="s">
        <v>51</v>
      </c>
      <c r="I16" s="10"/>
      <c r="J16" s="161" t="s">
        <v>80</v>
      </c>
      <c r="K16" s="10"/>
      <c r="L16" s="10"/>
      <c r="M16" s="10"/>
      <c r="N16" s="98">
        <f>H28*H27</f>
        <v>0</v>
      </c>
    </row>
    <row r="17" spans="1:14" x14ac:dyDescent="0.3">
      <c r="C17" s="173" t="s">
        <v>12</v>
      </c>
      <c r="D17" s="174"/>
      <c r="E17" s="174"/>
      <c r="F17" s="174"/>
      <c r="G17" s="175"/>
      <c r="H17" s="160" t="s">
        <v>52</v>
      </c>
      <c r="I17" s="10"/>
      <c r="J17" s="161" t="s">
        <v>81</v>
      </c>
      <c r="K17" s="10"/>
      <c r="L17" s="10"/>
      <c r="M17" s="10"/>
      <c r="N17" s="98">
        <f>H29*H27</f>
        <v>4101.3399259999997</v>
      </c>
    </row>
    <row r="18" spans="1:14" x14ac:dyDescent="0.3">
      <c r="C18" s="173" t="s">
        <v>13</v>
      </c>
      <c r="D18" s="174"/>
      <c r="E18" s="174"/>
      <c r="F18" s="174"/>
      <c r="G18" s="175"/>
      <c r="H18" s="111">
        <v>44986</v>
      </c>
      <c r="I18" s="10"/>
      <c r="J18" s="161" t="s">
        <v>82</v>
      </c>
      <c r="K18" s="10"/>
      <c r="L18" s="10"/>
      <c r="M18" s="10"/>
      <c r="N18" s="98">
        <f>IF(H48="Refinanced",H50,0)</f>
        <v>1044.5</v>
      </c>
    </row>
    <row r="19" spans="1:14" x14ac:dyDescent="0.3">
      <c r="C19" s="173" t="s">
        <v>109</v>
      </c>
      <c r="D19" s="174"/>
      <c r="E19" s="174"/>
      <c r="F19" s="174"/>
      <c r="G19" s="175"/>
      <c r="H19" s="160" t="s">
        <v>50</v>
      </c>
      <c r="I19" s="10"/>
      <c r="J19" s="161" t="s">
        <v>83</v>
      </c>
      <c r="K19" s="10"/>
      <c r="L19" s="10"/>
      <c r="M19" s="10"/>
      <c r="N19" s="98">
        <f>H61</f>
        <v>61.520098889999993</v>
      </c>
    </row>
    <row r="20" spans="1:14" x14ac:dyDescent="0.3">
      <c r="A20" s="3"/>
      <c r="C20" s="173" t="s">
        <v>74</v>
      </c>
      <c r="D20" s="174"/>
      <c r="E20" s="174"/>
      <c r="F20" s="174"/>
      <c r="G20" s="175"/>
      <c r="H20" s="11">
        <v>40.26</v>
      </c>
      <c r="I20" s="10"/>
      <c r="J20" s="161" t="s">
        <v>84</v>
      </c>
      <c r="K20" s="10"/>
      <c r="L20" s="10"/>
      <c r="M20" s="10"/>
      <c r="N20" s="98">
        <f>H54</f>
        <v>54.672105576514994</v>
      </c>
    </row>
    <row r="21" spans="1:14" x14ac:dyDescent="0.3">
      <c r="C21" s="176" t="s">
        <v>15</v>
      </c>
      <c r="D21" s="174"/>
      <c r="E21" s="174"/>
      <c r="F21" s="174"/>
      <c r="G21" s="175"/>
      <c r="H21" s="53">
        <f>Shares!J15</f>
        <v>66.150643967741928</v>
      </c>
      <c r="I21" s="10"/>
      <c r="J21" s="164" t="s">
        <v>85</v>
      </c>
      <c r="K21" s="10"/>
      <c r="L21" s="10"/>
      <c r="M21" s="10"/>
      <c r="N21" s="98">
        <f>SUM(N16:N20)</f>
        <v>5262.032130466514</v>
      </c>
    </row>
    <row r="22" spans="1:14" x14ac:dyDescent="0.3">
      <c r="C22" s="177"/>
      <c r="D22" s="178"/>
      <c r="E22" s="178"/>
      <c r="F22" s="178"/>
      <c r="G22" s="179"/>
      <c r="H22" s="51"/>
      <c r="I22" s="10"/>
      <c r="J22" s="180" t="s">
        <v>86</v>
      </c>
      <c r="K22" s="44"/>
      <c r="L22" s="44"/>
      <c r="M22" s="44"/>
      <c r="N22" s="101" t="str">
        <f>IF(N21=N12,"OK",N21-N12)</f>
        <v>OK</v>
      </c>
    </row>
    <row r="23" spans="1:14" x14ac:dyDescent="0.3">
      <c r="C23" s="10"/>
      <c r="D23" s="10"/>
      <c r="E23" s="10"/>
      <c r="F23" s="10"/>
      <c r="G23" s="10"/>
      <c r="H23" s="10"/>
      <c r="I23" s="181"/>
      <c r="J23" s="10"/>
      <c r="K23" s="10"/>
      <c r="L23" s="10"/>
      <c r="M23" s="10"/>
      <c r="N23" s="10"/>
    </row>
    <row r="24" spans="1:14" x14ac:dyDescent="0.3">
      <c r="C24" s="154" t="s">
        <v>5</v>
      </c>
      <c r="D24" s="155"/>
      <c r="E24" s="155"/>
      <c r="F24" s="155"/>
      <c r="G24" s="155"/>
      <c r="H24" s="156"/>
      <c r="I24" s="10"/>
      <c r="J24" s="154" t="s">
        <v>40</v>
      </c>
      <c r="K24" s="155"/>
      <c r="L24" s="155"/>
      <c r="M24" s="155"/>
      <c r="N24" s="156"/>
    </row>
    <row r="25" spans="1:14" x14ac:dyDescent="0.3">
      <c r="C25" s="162" t="s">
        <v>17</v>
      </c>
      <c r="D25" s="163"/>
      <c r="E25" s="163"/>
      <c r="F25" s="163"/>
      <c r="G25" s="10"/>
      <c r="H25" s="102">
        <f>H26/H20-1</f>
        <v>0.53999006458022869</v>
      </c>
      <c r="I25" s="10"/>
      <c r="J25" s="182" t="s">
        <v>99</v>
      </c>
      <c r="K25" s="174"/>
      <c r="L25" s="174"/>
      <c r="M25" s="183"/>
      <c r="N25" s="17"/>
    </row>
    <row r="26" spans="1:14" x14ac:dyDescent="0.3">
      <c r="C26" s="162" t="s">
        <v>18</v>
      </c>
      <c r="D26" s="163"/>
      <c r="E26" s="163"/>
      <c r="F26" s="163"/>
      <c r="G26" s="10"/>
      <c r="H26" s="61">
        <f>'Accretion Dilution'!E47</f>
        <v>62</v>
      </c>
      <c r="I26" s="10"/>
      <c r="J26" s="184" t="s">
        <v>100</v>
      </c>
      <c r="K26" s="22"/>
      <c r="L26" s="22"/>
      <c r="M26" s="10"/>
      <c r="N26" s="57">
        <v>275.10000000000002</v>
      </c>
    </row>
    <row r="27" spans="1:14" x14ac:dyDescent="0.3">
      <c r="C27" s="162" t="s">
        <v>19</v>
      </c>
      <c r="D27" s="163"/>
      <c r="E27" s="163"/>
      <c r="F27" s="163"/>
      <c r="G27" s="10"/>
      <c r="H27" s="19">
        <f>H21*H26</f>
        <v>4101.3399259999997</v>
      </c>
      <c r="I27" s="10"/>
      <c r="J27" s="184" t="s">
        <v>101</v>
      </c>
      <c r="K27" s="22"/>
      <c r="L27" s="22"/>
      <c r="M27" s="10"/>
      <c r="N27" s="12">
        <v>0.3</v>
      </c>
    </row>
    <row r="28" spans="1:14" x14ac:dyDescent="0.3">
      <c r="C28" s="162" t="s">
        <v>20</v>
      </c>
      <c r="D28" s="163"/>
      <c r="E28" s="163"/>
      <c r="F28" s="163"/>
      <c r="G28" s="10"/>
      <c r="H28" s="12">
        <v>0</v>
      </c>
      <c r="I28" s="10"/>
      <c r="J28" s="184" t="s">
        <v>102</v>
      </c>
      <c r="K28" s="22"/>
      <c r="L28" s="22"/>
      <c r="M28" s="10"/>
      <c r="N28" s="98">
        <f>N26*N27</f>
        <v>82.53</v>
      </c>
    </row>
    <row r="29" spans="1:14" x14ac:dyDescent="0.3">
      <c r="C29" s="162" t="s">
        <v>21</v>
      </c>
      <c r="D29" s="163"/>
      <c r="E29" s="163"/>
      <c r="F29" s="163"/>
      <c r="G29" s="10"/>
      <c r="H29" s="102">
        <f>1-H28</f>
        <v>1</v>
      </c>
      <c r="I29" s="10"/>
      <c r="J29" s="184" t="s">
        <v>103</v>
      </c>
      <c r="K29" s="10"/>
      <c r="L29" s="10"/>
      <c r="M29" s="10"/>
      <c r="N29" s="110">
        <v>15</v>
      </c>
    </row>
    <row r="30" spans="1:14" x14ac:dyDescent="0.3">
      <c r="C30" s="162" t="s">
        <v>22</v>
      </c>
      <c r="D30" s="163"/>
      <c r="E30" s="163"/>
      <c r="F30" s="163"/>
      <c r="G30" s="10"/>
      <c r="H30" s="18" t="s">
        <v>137</v>
      </c>
      <c r="I30" s="10"/>
      <c r="J30" s="184" t="s">
        <v>104</v>
      </c>
      <c r="K30" s="10"/>
      <c r="L30" s="10"/>
      <c r="M30" s="10"/>
      <c r="N30" s="98">
        <f>N28/N29</f>
        <v>5.5019999999999998</v>
      </c>
    </row>
    <row r="31" spans="1:14" x14ac:dyDescent="0.3">
      <c r="C31" s="185" t="s">
        <v>43</v>
      </c>
      <c r="D31" s="163"/>
      <c r="E31" s="163"/>
      <c r="F31" s="163"/>
      <c r="G31" s="10"/>
      <c r="H31" s="19">
        <f>IFERROR(H28*(H27/H11),0)</f>
        <v>0</v>
      </c>
      <c r="I31" s="10"/>
      <c r="J31" s="184" t="s">
        <v>105</v>
      </c>
      <c r="K31" s="10"/>
      <c r="L31" s="10"/>
      <c r="M31" s="10"/>
      <c r="N31" s="98">
        <f>IF(H30="Stock Sale",N28*H63,0)</f>
        <v>20.6325</v>
      </c>
    </row>
    <row r="32" spans="1:14" x14ac:dyDescent="0.3">
      <c r="C32" s="185" t="s">
        <v>41</v>
      </c>
      <c r="D32" s="163"/>
      <c r="E32" s="163"/>
      <c r="F32" s="163"/>
      <c r="G32" s="10"/>
      <c r="H32" s="20">
        <f>IFERROR(H26/H11,0)</f>
        <v>0.41427235066149942</v>
      </c>
      <c r="I32" s="10"/>
      <c r="J32" s="135"/>
      <c r="K32" s="10"/>
      <c r="L32" s="10"/>
      <c r="M32" s="10"/>
      <c r="N32" s="12"/>
    </row>
    <row r="33" spans="3:14" x14ac:dyDescent="0.3">
      <c r="C33" s="186" t="s">
        <v>42</v>
      </c>
      <c r="D33" s="163"/>
      <c r="E33" s="163"/>
      <c r="F33" s="163"/>
      <c r="G33" s="10"/>
      <c r="H33" s="54">
        <f>IFERROR(H28*(H26/H11),0)</f>
        <v>0</v>
      </c>
      <c r="I33" s="10"/>
      <c r="J33" s="187" t="s">
        <v>106</v>
      </c>
      <c r="K33" s="10"/>
      <c r="L33" s="10"/>
      <c r="M33" s="10"/>
      <c r="N33" s="12"/>
    </row>
    <row r="34" spans="3:14" x14ac:dyDescent="0.3">
      <c r="C34" s="162"/>
      <c r="D34" s="163"/>
      <c r="E34" s="163"/>
      <c r="F34" s="163"/>
      <c r="G34" s="10"/>
      <c r="H34" s="18"/>
      <c r="I34" s="10"/>
      <c r="J34" s="184" t="s">
        <v>107</v>
      </c>
      <c r="K34" s="10"/>
      <c r="L34" s="10"/>
      <c r="M34" s="10"/>
      <c r="N34" s="57">
        <v>970.4</v>
      </c>
    </row>
    <row r="35" spans="3:14" x14ac:dyDescent="0.3">
      <c r="C35" s="162"/>
      <c r="D35" s="163"/>
      <c r="E35" s="163"/>
      <c r="F35" s="163"/>
      <c r="G35" s="10"/>
      <c r="H35" s="18"/>
      <c r="I35" s="10"/>
      <c r="J35" s="184" t="s">
        <v>101</v>
      </c>
      <c r="K35" s="10"/>
      <c r="L35" s="10"/>
      <c r="M35" s="10"/>
      <c r="N35" s="12">
        <v>1.2</v>
      </c>
    </row>
    <row r="36" spans="3:14" x14ac:dyDescent="0.3">
      <c r="C36" s="162"/>
      <c r="D36" s="163"/>
      <c r="E36" s="163"/>
      <c r="F36" s="163"/>
      <c r="G36" s="10"/>
      <c r="H36" s="18"/>
      <c r="I36" s="10"/>
      <c r="J36" s="184" t="s">
        <v>102</v>
      </c>
      <c r="K36" s="10"/>
      <c r="L36" s="10"/>
      <c r="M36" s="10"/>
      <c r="N36" s="98">
        <f>N35*N34</f>
        <v>1164.48</v>
      </c>
    </row>
    <row r="37" spans="3:14" x14ac:dyDescent="0.3">
      <c r="C37" s="185"/>
      <c r="D37" s="163"/>
      <c r="E37" s="163"/>
      <c r="F37" s="163"/>
      <c r="G37" s="10"/>
      <c r="H37" s="19"/>
      <c r="I37" s="10"/>
      <c r="J37" s="184" t="s">
        <v>103</v>
      </c>
      <c r="K37" s="10"/>
      <c r="L37" s="10"/>
      <c r="M37" s="10"/>
      <c r="N37" s="109">
        <v>13</v>
      </c>
    </row>
    <row r="38" spans="3:14" x14ac:dyDescent="0.3">
      <c r="C38" s="185"/>
      <c r="D38" s="163"/>
      <c r="E38" s="163"/>
      <c r="F38" s="163"/>
      <c r="G38" s="10"/>
      <c r="H38" s="20"/>
      <c r="I38" s="10"/>
      <c r="J38" s="184" t="s">
        <v>108</v>
      </c>
      <c r="K38" s="10"/>
      <c r="L38" s="10"/>
      <c r="M38" s="10"/>
      <c r="N38" s="56">
        <f>N36/N37</f>
        <v>89.575384615384621</v>
      </c>
    </row>
    <row r="39" spans="3:14" x14ac:dyDescent="0.3">
      <c r="C39" s="188"/>
      <c r="D39" s="189"/>
      <c r="E39" s="189"/>
      <c r="F39" s="189"/>
      <c r="G39" s="167"/>
      <c r="H39" s="21"/>
      <c r="I39" s="10"/>
      <c r="J39" s="190" t="s">
        <v>105</v>
      </c>
      <c r="K39" s="167"/>
      <c r="L39" s="167"/>
      <c r="M39" s="167"/>
      <c r="N39" s="99">
        <f>IF(H30="Stock Sale",N36*H63,0)</f>
        <v>291.12</v>
      </c>
    </row>
    <row r="40" spans="3:14" x14ac:dyDescent="0.3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3:14" x14ac:dyDescent="0.3">
      <c r="C41" s="154" t="s">
        <v>6</v>
      </c>
      <c r="D41" s="191"/>
      <c r="E41" s="191"/>
      <c r="F41" s="191"/>
      <c r="G41" s="191"/>
      <c r="H41" s="192"/>
      <c r="I41" s="10"/>
      <c r="J41" s="154" t="s">
        <v>10</v>
      </c>
      <c r="K41" s="191"/>
      <c r="L41" s="191"/>
      <c r="M41" s="191"/>
      <c r="N41" s="192"/>
    </row>
    <row r="42" spans="3:14" x14ac:dyDescent="0.3">
      <c r="C42" s="162" t="s">
        <v>46</v>
      </c>
      <c r="D42" s="163"/>
      <c r="E42" s="163"/>
      <c r="F42" s="163"/>
      <c r="G42" s="10"/>
      <c r="H42" s="103">
        <f>'Accretion Dilution'!E48</f>
        <v>0.91</v>
      </c>
      <c r="I42" s="10"/>
      <c r="J42" s="182" t="s">
        <v>87</v>
      </c>
      <c r="K42" s="10"/>
      <c r="L42" s="10"/>
      <c r="M42" s="10"/>
      <c r="N42" s="57">
        <v>3676.6</v>
      </c>
    </row>
    <row r="43" spans="3:14" x14ac:dyDescent="0.3">
      <c r="C43" s="162" t="s">
        <v>45</v>
      </c>
      <c r="D43" s="163"/>
      <c r="E43" s="163"/>
      <c r="F43" s="163"/>
      <c r="G43" s="10"/>
      <c r="H43" s="104">
        <f>1-H42</f>
        <v>8.9999999999999969E-2</v>
      </c>
      <c r="I43" s="10"/>
      <c r="J43" s="161" t="s">
        <v>88</v>
      </c>
      <c r="K43" s="10"/>
      <c r="L43" s="10"/>
      <c r="M43" s="10"/>
      <c r="N43" s="56">
        <f>N28</f>
        <v>82.53</v>
      </c>
    </row>
    <row r="44" spans="3:14" x14ac:dyDescent="0.3">
      <c r="C44" s="162" t="s">
        <v>23</v>
      </c>
      <c r="D44" s="163"/>
      <c r="E44" s="163"/>
      <c r="F44" s="163"/>
      <c r="G44" s="10"/>
      <c r="H44" s="57">
        <v>688.5</v>
      </c>
      <c r="I44" s="10"/>
      <c r="J44" s="161" t="s">
        <v>89</v>
      </c>
      <c r="K44" s="10"/>
      <c r="L44" s="10"/>
      <c r="M44" s="10"/>
      <c r="N44" s="56">
        <f>N36</f>
        <v>1164.48</v>
      </c>
    </row>
    <row r="45" spans="3:14" x14ac:dyDescent="0.3">
      <c r="C45" s="162" t="s">
        <v>24</v>
      </c>
      <c r="D45" s="163"/>
      <c r="E45" s="163"/>
      <c r="F45" s="163"/>
      <c r="G45" s="10"/>
      <c r="H45" s="56">
        <f>H42*H29*H27</f>
        <v>3732.21933266</v>
      </c>
      <c r="I45" s="10"/>
      <c r="J45" s="161" t="s">
        <v>90</v>
      </c>
      <c r="K45" s="10"/>
      <c r="L45" s="10"/>
      <c r="M45" s="10"/>
      <c r="N45" s="57">
        <v>-1524.5</v>
      </c>
    </row>
    <row r="46" spans="3:14" x14ac:dyDescent="0.3">
      <c r="C46" s="162" t="s">
        <v>25</v>
      </c>
      <c r="D46" s="163"/>
      <c r="E46" s="163"/>
      <c r="F46" s="163"/>
      <c r="G46" s="10"/>
      <c r="H46" s="56">
        <f>H43*H29*H27</f>
        <v>369.12059333999986</v>
      </c>
      <c r="I46" s="10"/>
      <c r="J46" s="161" t="s">
        <v>91</v>
      </c>
      <c r="K46" s="10"/>
      <c r="L46" s="10"/>
      <c r="M46" s="10"/>
      <c r="N46" s="57">
        <v>-7.5</v>
      </c>
    </row>
    <row r="47" spans="3:14" x14ac:dyDescent="0.3">
      <c r="C47" s="162" t="s">
        <v>26</v>
      </c>
      <c r="D47" s="163"/>
      <c r="E47" s="163"/>
      <c r="F47" s="163"/>
      <c r="G47" s="10"/>
      <c r="H47" s="104">
        <f>IFERROR(H46/H44,0)</f>
        <v>0.53612286614379068</v>
      </c>
      <c r="I47" s="10"/>
      <c r="J47" s="187" t="s">
        <v>92</v>
      </c>
      <c r="K47" s="10"/>
      <c r="L47" s="10"/>
      <c r="M47" s="10"/>
      <c r="N47" s="56">
        <f>SUM(N42:N46)</f>
        <v>3391.6100000000006</v>
      </c>
    </row>
    <row r="48" spans="3:14" x14ac:dyDescent="0.3">
      <c r="C48" s="162" t="s">
        <v>27</v>
      </c>
      <c r="D48" s="163"/>
      <c r="E48" s="163"/>
      <c r="F48" s="163"/>
      <c r="G48" s="10"/>
      <c r="H48" s="13" t="s">
        <v>73</v>
      </c>
      <c r="I48" s="10"/>
      <c r="J48" s="135"/>
      <c r="K48" s="10"/>
      <c r="L48" s="10"/>
      <c r="M48" s="10"/>
      <c r="N48" s="56"/>
    </row>
    <row r="49" spans="3:14" x14ac:dyDescent="0.3">
      <c r="C49" s="162" t="s">
        <v>28</v>
      </c>
      <c r="D49" s="163"/>
      <c r="E49" s="163"/>
      <c r="F49" s="163"/>
      <c r="G49" s="10"/>
      <c r="H49" s="57">
        <v>1044.5</v>
      </c>
      <c r="I49" s="10"/>
      <c r="J49" s="187" t="s">
        <v>93</v>
      </c>
      <c r="K49" s="10"/>
      <c r="L49" s="10"/>
      <c r="M49" s="10"/>
      <c r="N49" s="57">
        <v>1674.2</v>
      </c>
    </row>
    <row r="50" spans="3:14" x14ac:dyDescent="0.3">
      <c r="C50" s="162" t="s">
        <v>29</v>
      </c>
      <c r="D50" s="163"/>
      <c r="E50" s="163"/>
      <c r="F50" s="163"/>
      <c r="G50" s="10"/>
      <c r="H50" s="56">
        <f>IF(H48="Assumed",0,H49)</f>
        <v>1044.5</v>
      </c>
      <c r="I50" s="10"/>
      <c r="J50" s="161" t="s">
        <v>94</v>
      </c>
      <c r="K50" s="10"/>
      <c r="L50" s="10"/>
      <c r="M50" s="10"/>
      <c r="N50" s="57">
        <v>0</v>
      </c>
    </row>
    <row r="51" spans="3:14" x14ac:dyDescent="0.3">
      <c r="C51" s="162" t="s">
        <v>30</v>
      </c>
      <c r="D51" s="163"/>
      <c r="E51" s="163"/>
      <c r="F51" s="163"/>
      <c r="G51" s="10"/>
      <c r="H51" s="98">
        <f>H45+H50+H54+H61</f>
        <v>4892.9115371265143</v>
      </c>
      <c r="I51" s="10"/>
      <c r="J51" s="161" t="s">
        <v>95</v>
      </c>
      <c r="K51" s="10"/>
      <c r="L51" s="10"/>
      <c r="M51" s="10"/>
      <c r="N51" s="56">
        <f>N39+N31</f>
        <v>311.7525</v>
      </c>
    </row>
    <row r="52" spans="3:14" x14ac:dyDescent="0.3">
      <c r="C52" s="162" t="s">
        <v>31</v>
      </c>
      <c r="D52" s="163"/>
      <c r="E52" s="163"/>
      <c r="F52" s="163"/>
      <c r="G52" s="10"/>
      <c r="H52" s="109">
        <v>6.3</v>
      </c>
      <c r="I52" s="10"/>
      <c r="J52" s="187" t="s">
        <v>96</v>
      </c>
      <c r="K52" s="10"/>
      <c r="L52" s="10"/>
      <c r="M52" s="10"/>
      <c r="N52" s="56">
        <f>SUM(N49:N51)</f>
        <v>1985.9525000000001</v>
      </c>
    </row>
    <row r="53" spans="3:14" x14ac:dyDescent="0.3">
      <c r="C53" s="162" t="s">
        <v>44</v>
      </c>
      <c r="D53" s="163"/>
      <c r="E53" s="163"/>
      <c r="F53" s="163"/>
      <c r="G53" s="10"/>
      <c r="H53" s="105">
        <v>1.1299999999999999E-2</v>
      </c>
      <c r="I53" s="10"/>
      <c r="J53" s="135"/>
      <c r="K53" s="10"/>
      <c r="L53" s="10"/>
      <c r="M53" s="10"/>
      <c r="N53" s="14"/>
    </row>
    <row r="54" spans="3:14" x14ac:dyDescent="0.3">
      <c r="C54" s="162" t="s">
        <v>32</v>
      </c>
      <c r="D54" s="163"/>
      <c r="E54" s="163"/>
      <c r="F54" s="163"/>
      <c r="G54" s="10"/>
      <c r="H54" s="56">
        <f>(H45+H50+H61)*H53</f>
        <v>54.672105576514994</v>
      </c>
      <c r="I54" s="10"/>
      <c r="J54" s="135" t="s">
        <v>97</v>
      </c>
      <c r="K54" s="10"/>
      <c r="L54" s="10"/>
      <c r="M54" s="10"/>
      <c r="N54" s="56">
        <f>N47-N52</f>
        <v>1405.6575000000005</v>
      </c>
    </row>
    <row r="55" spans="3:14" x14ac:dyDescent="0.3">
      <c r="C55" s="162" t="s">
        <v>33</v>
      </c>
      <c r="D55" s="163"/>
      <c r="E55" s="163"/>
      <c r="F55" s="163"/>
      <c r="G55" s="10"/>
      <c r="H55" s="98">
        <f>IFERROR(H54/H52,0)</f>
        <v>8.6781119962722215</v>
      </c>
      <c r="I55" s="10"/>
      <c r="J55" s="193" t="s">
        <v>19</v>
      </c>
      <c r="K55" s="10"/>
      <c r="L55" s="10"/>
      <c r="M55" s="10"/>
      <c r="N55" s="56">
        <f>H27</f>
        <v>4101.3399259999997</v>
      </c>
    </row>
    <row r="56" spans="3:14" x14ac:dyDescent="0.3">
      <c r="C56" s="162" t="s">
        <v>34</v>
      </c>
      <c r="D56" s="163"/>
      <c r="E56" s="163"/>
      <c r="F56" s="163"/>
      <c r="G56" s="10"/>
      <c r="H56" s="106">
        <f>'Accretion Dilution'!E46</f>
        <v>6.2E-2</v>
      </c>
      <c r="I56" s="10"/>
      <c r="J56" s="182" t="s">
        <v>98</v>
      </c>
      <c r="K56" s="10"/>
      <c r="L56" s="10"/>
      <c r="M56" s="10"/>
      <c r="N56" s="56">
        <f>N55-N54</f>
        <v>2695.6824259999994</v>
      </c>
    </row>
    <row r="57" spans="3:14" x14ac:dyDescent="0.3">
      <c r="C57" s="194" t="s">
        <v>35</v>
      </c>
      <c r="D57" s="189"/>
      <c r="E57" s="189"/>
      <c r="F57" s="189"/>
      <c r="G57" s="167"/>
      <c r="H57" s="107">
        <v>0.05</v>
      </c>
      <c r="I57" s="10"/>
      <c r="J57" s="195"/>
      <c r="K57" s="167"/>
      <c r="L57" s="167"/>
      <c r="M57" s="167"/>
      <c r="N57" s="30"/>
    </row>
    <row r="58" spans="3:14" x14ac:dyDescent="0.3">
      <c r="C58" s="158"/>
      <c r="D58" s="26"/>
      <c r="E58" s="10"/>
      <c r="F58" s="198"/>
      <c r="G58" s="10"/>
      <c r="H58" s="27"/>
      <c r="I58" s="10"/>
      <c r="J58" s="196"/>
      <c r="K58" s="10"/>
      <c r="L58" s="10"/>
      <c r="M58" s="10"/>
      <c r="N58" s="197"/>
    </row>
    <row r="59" spans="3:14" x14ac:dyDescent="0.3">
      <c r="C59" s="154" t="s">
        <v>7</v>
      </c>
      <c r="D59" s="155"/>
      <c r="E59" s="155"/>
      <c r="F59" s="155"/>
      <c r="G59" s="155"/>
      <c r="H59" s="156"/>
      <c r="I59" s="10"/>
      <c r="J59" s="154" t="s">
        <v>7</v>
      </c>
      <c r="K59" s="191"/>
      <c r="L59" s="191"/>
      <c r="M59" s="191"/>
      <c r="N59" s="192"/>
    </row>
    <row r="60" spans="3:14" ht="14.7" customHeight="1" x14ac:dyDescent="0.3">
      <c r="C60" s="199" t="s">
        <v>36</v>
      </c>
      <c r="D60" s="200"/>
      <c r="E60" s="200"/>
      <c r="F60" s="200"/>
      <c r="G60" s="201"/>
      <c r="H60" s="108">
        <v>1.4999999999999999E-2</v>
      </c>
      <c r="I60" s="10"/>
      <c r="J60" s="243" t="str">
        <f>$H$8&amp;" calendar year ending 2022 Adjusted EBITDA"</f>
        <v>RRX calendar year ending 2022 Adjusted EBITDA</v>
      </c>
      <c r="K60" s="201"/>
      <c r="L60" s="201"/>
      <c r="M60" s="201"/>
      <c r="N60" s="100">
        <v>1111.7</v>
      </c>
    </row>
    <row r="61" spans="3:14" ht="14.7" customHeight="1" x14ac:dyDescent="0.3">
      <c r="C61" s="199" t="s">
        <v>37</v>
      </c>
      <c r="D61" s="200"/>
      <c r="E61" s="200"/>
      <c r="F61" s="200"/>
      <c r="G61" s="201"/>
      <c r="H61" s="56">
        <f>H60*H27</f>
        <v>61.520098889999993</v>
      </c>
      <c r="I61" s="10"/>
      <c r="J61" s="243" t="str">
        <f>$H$17&amp;" calendar year ending 2022 Adjusted EBITDA"</f>
        <v>AIMC calendar year ending 2022 Adjusted EBITDA</v>
      </c>
      <c r="K61" s="201"/>
      <c r="L61" s="201"/>
      <c r="M61" s="201"/>
      <c r="N61" s="100">
        <v>388.5</v>
      </c>
    </row>
    <row r="62" spans="3:14" ht="14.7" customHeight="1" x14ac:dyDescent="0.3">
      <c r="C62" s="199" t="s">
        <v>213</v>
      </c>
      <c r="D62" s="200"/>
      <c r="E62" s="200"/>
      <c r="F62" s="200"/>
      <c r="G62" s="201"/>
      <c r="H62" s="61">
        <f>'Accretion Dilution'!E45</f>
        <v>160</v>
      </c>
      <c r="I62" s="10"/>
      <c r="J62" s="243" t="str">
        <f>$H$8&amp;" intangible amortization, FY22"</f>
        <v>RRX intangible amortization, FY22</v>
      </c>
      <c r="K62" s="201"/>
      <c r="L62" s="201"/>
      <c r="M62" s="201"/>
      <c r="N62" s="100">
        <v>185.5</v>
      </c>
    </row>
    <row r="63" spans="3:14" ht="14.7" customHeight="1" x14ac:dyDescent="0.3">
      <c r="C63" s="199" t="s">
        <v>140</v>
      </c>
      <c r="D63" s="200"/>
      <c r="E63" s="200"/>
      <c r="F63" s="200"/>
      <c r="G63" s="201"/>
      <c r="H63" s="108">
        <v>0.25</v>
      </c>
      <c r="I63" s="10"/>
      <c r="J63" s="243" t="str">
        <f>$H$17&amp;" intangible amortization, FY22"</f>
        <v>AIMC intangible amortization, FY22</v>
      </c>
      <c r="K63" s="201"/>
      <c r="L63" s="201"/>
      <c r="M63" s="201"/>
      <c r="N63" s="100">
        <v>55.2</v>
      </c>
    </row>
    <row r="64" spans="3:14" ht="14.7" customHeight="1" x14ac:dyDescent="0.3">
      <c r="C64" s="199" t="s">
        <v>38</v>
      </c>
      <c r="D64" s="200"/>
      <c r="E64" s="200"/>
      <c r="F64" s="200"/>
      <c r="G64" s="201"/>
      <c r="H64" s="108">
        <v>0.19400000000000001</v>
      </c>
      <c r="I64" s="10"/>
      <c r="J64" s="243" t="str">
        <f>$H$8&amp;" restructuring &amp; related costs, FY22"</f>
        <v>RRX restructuring &amp; related costs, FY22</v>
      </c>
      <c r="K64" s="201"/>
      <c r="L64" s="201"/>
      <c r="M64" s="201"/>
      <c r="N64" s="100">
        <v>46.8</v>
      </c>
    </row>
    <row r="65" spans="2:15" ht="14.7" customHeight="1" x14ac:dyDescent="0.3">
      <c r="C65" s="199" t="s">
        <v>39</v>
      </c>
      <c r="D65" s="200"/>
      <c r="E65" s="200"/>
      <c r="F65" s="200"/>
      <c r="G65" s="201"/>
      <c r="H65" s="108">
        <v>0.32900000000000001</v>
      </c>
      <c r="I65" s="10"/>
      <c r="J65" s="243" t="str">
        <f>$H$8&amp;" transaction &amp; related costs, FY22"</f>
        <v>RRX transaction &amp; related costs, FY22</v>
      </c>
      <c r="K65" s="201"/>
      <c r="L65" s="201"/>
      <c r="M65" s="201"/>
      <c r="N65" s="100">
        <v>19</v>
      </c>
    </row>
    <row r="66" spans="2:15" ht="14.7" customHeight="1" x14ac:dyDescent="0.3">
      <c r="C66" s="202" t="s">
        <v>211</v>
      </c>
      <c r="D66" s="203"/>
      <c r="E66" s="203"/>
      <c r="F66" s="203"/>
      <c r="G66" s="204"/>
      <c r="H66" s="260">
        <v>51.5</v>
      </c>
      <c r="I66" s="10"/>
      <c r="J66" s="243"/>
      <c r="K66" s="201"/>
      <c r="L66" s="201"/>
      <c r="M66" s="201"/>
      <c r="N66" s="300"/>
    </row>
    <row r="67" spans="2:15" ht="14.7" customHeight="1" x14ac:dyDescent="0.3">
      <c r="B67" s="141"/>
      <c r="C67" s="255"/>
      <c r="D67" s="255"/>
      <c r="E67" s="255"/>
      <c r="F67" s="255"/>
      <c r="G67" s="44"/>
      <c r="H67" s="256"/>
      <c r="I67" s="44"/>
      <c r="J67" s="257"/>
      <c r="K67" s="258"/>
      <c r="L67" s="258"/>
      <c r="M67" s="258"/>
      <c r="N67" s="258"/>
      <c r="O67" s="141"/>
    </row>
    <row r="68" spans="2:15" x14ac:dyDescent="0.3">
      <c r="C68" s="205"/>
      <c r="D68" s="196"/>
      <c r="E68" s="206"/>
      <c r="F68" s="10"/>
      <c r="G68" s="206"/>
      <c r="H68" s="10"/>
      <c r="I68" s="10"/>
    </row>
    <row r="69" spans="2:15" x14ac:dyDescent="0.3">
      <c r="C69" s="158"/>
      <c r="D69" s="207"/>
      <c r="E69" s="208"/>
      <c r="F69" s="149"/>
      <c r="G69" s="10"/>
      <c r="H69" s="29"/>
      <c r="I69" s="10"/>
      <c r="J69" s="181"/>
      <c r="K69" s="10"/>
      <c r="L69" s="10"/>
      <c r="M69" s="183"/>
      <c r="N69" s="28"/>
    </row>
    <row r="70" spans="2:15" x14ac:dyDescent="0.3">
      <c r="C70" s="158"/>
      <c r="D70" s="207"/>
      <c r="E70" s="208"/>
      <c r="F70" s="149"/>
      <c r="G70" s="10"/>
      <c r="H70" s="29"/>
      <c r="I70" s="10"/>
      <c r="J70" s="209"/>
      <c r="K70" s="10"/>
      <c r="L70" s="10"/>
      <c r="M70" s="10"/>
      <c r="N70" s="28"/>
    </row>
    <row r="71" spans="2:15" x14ac:dyDescent="0.3">
      <c r="C71" s="158"/>
      <c r="D71" s="207"/>
      <c r="E71" s="208"/>
      <c r="F71" s="149"/>
      <c r="G71" s="10"/>
      <c r="H71" s="29"/>
      <c r="I71" s="10"/>
      <c r="J71" s="22"/>
      <c r="K71" s="10"/>
      <c r="L71" s="10"/>
      <c r="M71" s="10"/>
      <c r="N71" s="28"/>
    </row>
    <row r="72" spans="2:15" x14ac:dyDescent="0.3">
      <c r="C72" s="158"/>
      <c r="D72" s="207"/>
      <c r="E72" s="208"/>
      <c r="F72" s="149"/>
      <c r="G72" s="10"/>
      <c r="H72" s="29"/>
      <c r="I72" s="10"/>
      <c r="J72" s="148"/>
      <c r="K72" s="10"/>
      <c r="L72" s="10"/>
      <c r="M72" s="10"/>
      <c r="N72" s="32"/>
    </row>
    <row r="73" spans="2:15" x14ac:dyDescent="0.3">
      <c r="C73" s="158"/>
      <c r="D73" s="207"/>
      <c r="E73" s="208"/>
      <c r="F73" s="149"/>
      <c r="G73" s="10"/>
      <c r="H73" s="29"/>
      <c r="I73" s="10"/>
      <c r="J73" s="148"/>
      <c r="K73" s="10"/>
      <c r="L73" s="10"/>
      <c r="M73" s="10"/>
      <c r="N73" s="33"/>
    </row>
    <row r="74" spans="2:15" x14ac:dyDescent="0.3">
      <c r="C74" s="158"/>
      <c r="D74" s="181"/>
      <c r="E74" s="208"/>
      <c r="F74" s="198"/>
      <c r="G74" s="10"/>
      <c r="H74" s="10"/>
      <c r="I74" s="10"/>
      <c r="J74" s="10"/>
      <c r="K74" s="10"/>
      <c r="L74" s="10"/>
      <c r="M74" s="10"/>
      <c r="N74" s="34"/>
    </row>
  </sheetData>
  <dataValidations count="3">
    <dataValidation type="list" allowBlank="1" showInputMessage="1" showErrorMessage="1" sqref="H30 H34:H36" xr:uid="{9E82E9C6-5C02-404B-8209-53CD6882527D}">
      <formula1>"Stock Sale,Asset Sale/338"</formula1>
    </dataValidation>
    <dataValidation type="list" allowBlank="1" showInputMessage="1" showErrorMessage="1" sqref="H48" xr:uid="{C3E83ECE-2372-4C28-BE60-B83EAB91ECE0}">
      <formula1>"Refinanced,Assumed"</formula1>
    </dataValidation>
    <dataValidation type="list" allowBlank="1" showInputMessage="1" showErrorMessage="1" sqref="H10 H19" xr:uid="{E1AB71E0-0387-4299-94A5-6A945AE5C39A}">
      <formula1>"10-K,10-Q"</formula1>
    </dataValidation>
  </dataValidations>
  <printOptions horizontalCentered="1"/>
  <pageMargins left="0.25" right="0.25" top="0.30555555555555558" bottom="0.30555555555555558" header="0.16666666666666666" footer="0.16666666666666666"/>
  <pageSetup fitToHeight="0" orientation="landscape" r:id="rId1"/>
  <rowBreaks count="2" manualBreakCount="2">
    <brk id="22" max="16383" man="1"/>
    <brk id="3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C5EF-1368-4B62-B14E-702FB8F61D2D}">
  <sheetPr>
    <pageSetUpPr fitToPage="1"/>
  </sheetPr>
  <dimension ref="A2:X65"/>
  <sheetViews>
    <sheetView topLeftCell="A30" workbookViewId="0">
      <selection activeCell="N42" sqref="N42"/>
    </sheetView>
  </sheetViews>
  <sheetFormatPr defaultColWidth="8.88671875" defaultRowHeight="13.8" x14ac:dyDescent="0.25"/>
  <cols>
    <col min="1" max="1" width="2" style="1" customWidth="1"/>
    <col min="2" max="2" width="4.5546875" style="3" customWidth="1"/>
    <col min="3" max="3" width="34.33203125" style="3" customWidth="1"/>
    <col min="4" max="6" width="2.44140625" style="3" customWidth="1"/>
    <col min="7" max="9" width="11.44140625" style="3" customWidth="1"/>
    <col min="10" max="10" width="2.44140625" style="3" customWidth="1"/>
    <col min="11" max="12" width="11.44140625" style="3" customWidth="1"/>
    <col min="13" max="13" width="2.44140625" style="3" customWidth="1"/>
    <col min="14" max="14" width="11.44140625" style="3" customWidth="1"/>
    <col min="15" max="15" width="2.6640625" style="3" customWidth="1"/>
    <col min="16" max="16384" width="8.88671875" style="3"/>
  </cols>
  <sheetData>
    <row r="2" spans="2:24" ht="22.8" x14ac:dyDescent="0.4">
      <c r="B2" s="298" t="str">
        <f>Cover!B11</f>
        <v xml:space="preserve">Regal Rexnord - Altra 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</row>
    <row r="3" spans="2:24" ht="23.4" thickBot="1" x14ac:dyDescent="0.45">
      <c r="B3" s="15" t="s">
        <v>110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</row>
    <row r="4" spans="2:24" x14ac:dyDescent="0.25">
      <c r="B4" s="245" t="s">
        <v>72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10"/>
      <c r="Q4" s="10"/>
      <c r="R4" s="10"/>
      <c r="S4" s="10"/>
      <c r="T4" s="10"/>
      <c r="U4" s="10"/>
      <c r="V4" s="10"/>
      <c r="W4" s="10"/>
      <c r="X4" s="10"/>
    </row>
    <row r="5" spans="2:24" x14ac:dyDescent="0.25">
      <c r="B5" s="10"/>
      <c r="C5" s="10"/>
      <c r="D5" s="10"/>
      <c r="E5" s="10"/>
      <c r="F5" s="10"/>
      <c r="H5" s="211" t="s">
        <v>132</v>
      </c>
      <c r="I5" s="211"/>
      <c r="J5" s="212"/>
      <c r="K5" s="211" t="s">
        <v>133</v>
      </c>
      <c r="L5" s="211"/>
      <c r="M5" s="212"/>
      <c r="N5" s="212" t="s">
        <v>134</v>
      </c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2:24" x14ac:dyDescent="0.25">
      <c r="C6" s="10"/>
      <c r="D6" s="10"/>
      <c r="E6" s="10"/>
      <c r="F6" s="10"/>
      <c r="H6" s="213" t="s">
        <v>55</v>
      </c>
      <c r="I6" s="213" t="s">
        <v>54</v>
      </c>
      <c r="J6" s="213"/>
      <c r="K6" s="213"/>
      <c r="L6" s="213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2:24" x14ac:dyDescent="0.25">
      <c r="B7" s="212" t="s">
        <v>111</v>
      </c>
      <c r="C7" s="10"/>
      <c r="D7" s="10"/>
      <c r="E7" s="10"/>
      <c r="F7" s="10"/>
      <c r="H7" s="285">
        <f>Assumptions!H9</f>
        <v>44981</v>
      </c>
      <c r="I7" s="285">
        <f>Assumptions!H18</f>
        <v>44986</v>
      </c>
      <c r="J7" s="213"/>
      <c r="K7" s="213" t="s">
        <v>135</v>
      </c>
      <c r="L7" s="213" t="s">
        <v>136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2:24" x14ac:dyDescent="0.25">
      <c r="B8" s="10"/>
      <c r="C8" s="10" t="s">
        <v>112</v>
      </c>
      <c r="D8" s="10"/>
      <c r="E8" s="10"/>
      <c r="F8" s="10"/>
      <c r="H8" s="31">
        <v>688.5</v>
      </c>
      <c r="I8" s="80">
        <v>208.9</v>
      </c>
      <c r="J8" s="81"/>
      <c r="K8" s="82"/>
      <c r="L8" s="286">
        <f>-Assumptions!N9</f>
        <v>-369.12059333999986</v>
      </c>
      <c r="M8" s="82"/>
      <c r="N8" s="82">
        <f t="shared" ref="N8:N28" si="0">SUM(H8:M8)</f>
        <v>528.27940666000018</v>
      </c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2:24" x14ac:dyDescent="0.25">
      <c r="B9" s="10"/>
      <c r="C9" s="10" t="s">
        <v>138</v>
      </c>
      <c r="D9" s="10"/>
      <c r="E9" s="10"/>
      <c r="F9" s="10"/>
      <c r="H9" s="31">
        <v>797.4</v>
      </c>
      <c r="I9" s="80">
        <v>244.6</v>
      </c>
      <c r="J9" s="81"/>
      <c r="K9" s="82"/>
      <c r="L9" s="82"/>
      <c r="M9" s="82"/>
      <c r="N9" s="82">
        <f t="shared" si="0"/>
        <v>1042</v>
      </c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 x14ac:dyDescent="0.25">
      <c r="B10" s="10"/>
      <c r="C10" s="10" t="s">
        <v>113</v>
      </c>
      <c r="D10" s="10"/>
      <c r="E10" s="10"/>
      <c r="F10" s="10"/>
      <c r="H10" s="31">
        <v>1336.9</v>
      </c>
      <c r="I10" s="80">
        <v>338.9</v>
      </c>
      <c r="J10" s="81"/>
      <c r="K10" s="82"/>
      <c r="L10" s="82"/>
      <c r="M10" s="82"/>
      <c r="N10" s="82">
        <f t="shared" si="0"/>
        <v>1675.8000000000002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 x14ac:dyDescent="0.25">
      <c r="B11" s="10"/>
      <c r="C11" s="10" t="s">
        <v>115</v>
      </c>
      <c r="D11" s="10"/>
      <c r="E11" s="10"/>
      <c r="F11" s="10"/>
      <c r="H11" s="31">
        <v>43.9</v>
      </c>
      <c r="I11" s="80">
        <v>7.5</v>
      </c>
      <c r="J11" s="81"/>
      <c r="K11" s="82"/>
      <c r="L11" s="286">
        <f>Assumptions!N46</f>
        <v>-7.5</v>
      </c>
      <c r="M11" s="82"/>
      <c r="N11" s="82">
        <f t="shared" si="0"/>
        <v>43.9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 x14ac:dyDescent="0.25">
      <c r="B12" s="10"/>
      <c r="C12" s="10" t="s">
        <v>114</v>
      </c>
      <c r="D12" s="10"/>
      <c r="E12" s="10"/>
      <c r="F12" s="10"/>
      <c r="H12" s="31">
        <f>150.9+17+9.8</f>
        <v>177.70000000000002</v>
      </c>
      <c r="I12" s="80">
        <v>35.1</v>
      </c>
      <c r="J12" s="81"/>
      <c r="K12" s="82"/>
      <c r="L12" s="82"/>
      <c r="M12" s="82"/>
      <c r="N12" s="82">
        <f t="shared" si="0"/>
        <v>212.8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 x14ac:dyDescent="0.25">
      <c r="B13" s="10"/>
      <c r="C13" s="10" t="s">
        <v>116</v>
      </c>
      <c r="D13" s="10"/>
      <c r="E13" s="10"/>
      <c r="F13" s="10"/>
      <c r="H13" s="31">
        <v>807</v>
      </c>
      <c r="I13" s="80">
        <v>275.10000000000002</v>
      </c>
      <c r="J13" s="81"/>
      <c r="K13" s="286">
        <f>Assumptions!N28</f>
        <v>82.53</v>
      </c>
      <c r="L13" s="82"/>
      <c r="M13" s="82"/>
      <c r="N13" s="82">
        <f t="shared" si="0"/>
        <v>1164.6299999999999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 x14ac:dyDescent="0.25">
      <c r="B14" s="10"/>
      <c r="C14" s="10" t="s">
        <v>106</v>
      </c>
      <c r="D14" s="10"/>
      <c r="E14" s="10"/>
      <c r="F14" s="10"/>
      <c r="H14" s="31">
        <v>2229.9</v>
      </c>
      <c r="I14" s="80">
        <v>970.4</v>
      </c>
      <c r="J14" s="81"/>
      <c r="K14" s="286">
        <f>Assumptions!N36</f>
        <v>1164.48</v>
      </c>
      <c r="L14" s="82"/>
      <c r="M14" s="82"/>
      <c r="N14" s="82">
        <f t="shared" si="0"/>
        <v>4364.7800000000007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 x14ac:dyDescent="0.25">
      <c r="B15" s="10"/>
      <c r="C15" s="10" t="s">
        <v>117</v>
      </c>
      <c r="D15" s="10"/>
      <c r="E15" s="10"/>
      <c r="F15" s="10"/>
      <c r="H15" s="31">
        <v>4018.8</v>
      </c>
      <c r="I15" s="80">
        <v>1524.5</v>
      </c>
      <c r="J15" s="81"/>
      <c r="K15" s="286">
        <f>Assumptions!N56</f>
        <v>2695.6824259999994</v>
      </c>
      <c r="L15" s="286">
        <f>Assumptions!N45</f>
        <v>-1524.5</v>
      </c>
      <c r="M15" s="82"/>
      <c r="N15" s="82">
        <f t="shared" si="0"/>
        <v>6714.4824259999987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 x14ac:dyDescent="0.25">
      <c r="B16" s="10"/>
      <c r="C16" s="10" t="s">
        <v>118</v>
      </c>
      <c r="D16" s="10"/>
      <c r="E16" s="10"/>
      <c r="F16" s="10"/>
      <c r="H16" s="83">
        <f>110.9+57.9</f>
        <v>168.8</v>
      </c>
      <c r="I16" s="84">
        <f>21.3+41.4+8.9</f>
        <v>71.600000000000009</v>
      </c>
      <c r="J16" s="85"/>
      <c r="K16" s="287">
        <f>Assumptions!N20</f>
        <v>54.672105576514994</v>
      </c>
      <c r="L16" s="86"/>
      <c r="M16" s="86"/>
      <c r="N16" s="86">
        <f>SUM(H16:M16)</f>
        <v>295.07210557651501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B17" s="212" t="s">
        <v>119</v>
      </c>
      <c r="C17" s="10"/>
      <c r="D17" s="10"/>
      <c r="E17" s="10"/>
      <c r="F17" s="10"/>
      <c r="H17" s="214">
        <f>SUM(H8:H16)</f>
        <v>10268.9</v>
      </c>
      <c r="I17" s="214">
        <f>SUM(I8:I16)</f>
        <v>3676.6</v>
      </c>
      <c r="J17" s="81"/>
      <c r="K17" s="82"/>
      <c r="L17" s="82"/>
      <c r="M17" s="82"/>
      <c r="N17" s="214">
        <f>SUM(N8:N16)</f>
        <v>16041.743938236514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B18" s="10"/>
      <c r="C18" s="10"/>
      <c r="D18" s="10"/>
      <c r="E18" s="10"/>
      <c r="F18" s="10"/>
      <c r="H18" s="55"/>
      <c r="I18" s="10"/>
      <c r="J18" s="10"/>
      <c r="K18" s="58"/>
      <c r="L18" s="58"/>
      <c r="M18" s="58"/>
      <c r="N18" s="58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B19" s="212" t="s">
        <v>120</v>
      </c>
      <c r="C19" s="10"/>
      <c r="D19" s="10"/>
      <c r="E19" s="10"/>
      <c r="F19" s="10"/>
      <c r="H19" s="55"/>
      <c r="I19" s="10"/>
      <c r="J19" s="10"/>
      <c r="K19" s="58"/>
      <c r="L19" s="58"/>
      <c r="M19" s="58"/>
      <c r="N19" s="58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B20" s="10"/>
      <c r="C20" s="10" t="s">
        <v>121</v>
      </c>
      <c r="D20" s="10"/>
      <c r="E20" s="10"/>
      <c r="F20" s="10"/>
      <c r="H20" s="31">
        <v>497.7</v>
      </c>
      <c r="I20" s="80">
        <v>165.8</v>
      </c>
      <c r="J20" s="81"/>
      <c r="K20" s="82"/>
      <c r="L20" s="82"/>
      <c r="M20" s="82"/>
      <c r="N20" s="82">
        <f t="shared" si="0"/>
        <v>663.5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B21" s="10"/>
      <c r="C21" s="10" t="s">
        <v>122</v>
      </c>
      <c r="D21" s="10"/>
      <c r="E21" s="10"/>
      <c r="F21" s="10"/>
      <c r="H21" s="31">
        <f>23.2+141.1+280+26.4</f>
        <v>470.69999999999993</v>
      </c>
      <c r="I21" s="80">
        <f>67.9+88.4+22.4+12.4</f>
        <v>191.10000000000002</v>
      </c>
      <c r="J21" s="81"/>
      <c r="K21" s="82"/>
      <c r="L21" s="82"/>
      <c r="M21" s="82"/>
      <c r="N21" s="82">
        <f t="shared" si="0"/>
        <v>661.8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25">
      <c r="A22" s="3"/>
      <c r="B22" s="10"/>
      <c r="C22" s="10" t="s">
        <v>123</v>
      </c>
      <c r="D22" s="10"/>
      <c r="E22" s="10"/>
      <c r="F22" s="10"/>
      <c r="H22" s="31">
        <v>33.799999999999997</v>
      </c>
      <c r="I22" s="80">
        <v>20.399999999999999</v>
      </c>
      <c r="J22" s="81"/>
      <c r="K22" s="82"/>
      <c r="L22" s="286">
        <f>IF(Assumptions!$H$48="Refinanced",-I22,0)</f>
        <v>-20.399999999999999</v>
      </c>
      <c r="M22" s="82"/>
      <c r="N22" s="82">
        <f t="shared" si="0"/>
        <v>33.799999999999997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25">
      <c r="B23" s="10"/>
      <c r="C23" s="10" t="s">
        <v>124</v>
      </c>
      <c r="D23" s="10"/>
      <c r="E23" s="10"/>
      <c r="F23" s="10"/>
      <c r="H23" s="31">
        <v>1989.7</v>
      </c>
      <c r="I23" s="80">
        <v>1024.0999999999999</v>
      </c>
      <c r="J23" s="81"/>
      <c r="K23" s="286">
        <f>Assumptions!N7+Assumptions!N8+Assumptions!N11</f>
        <v>4892.9115371265152</v>
      </c>
      <c r="L23" s="286">
        <f>IF(Assumptions!$H$48="Refinanced",-I23,0)</f>
        <v>-1024.0999999999999</v>
      </c>
      <c r="M23" s="82"/>
      <c r="N23" s="82">
        <f t="shared" si="0"/>
        <v>6882.611537126515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5">
      <c r="B24" s="10"/>
      <c r="C24" s="10" t="s">
        <v>125</v>
      </c>
      <c r="D24" s="10"/>
      <c r="E24" s="10"/>
      <c r="F24" s="10"/>
      <c r="H24" s="31">
        <v>0</v>
      </c>
      <c r="I24" s="80">
        <v>0</v>
      </c>
      <c r="J24" s="81"/>
      <c r="K24" s="82"/>
      <c r="L24" s="82"/>
      <c r="M24" s="82"/>
      <c r="N24" s="82">
        <f t="shared" si="0"/>
        <v>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25">
      <c r="B25" s="10"/>
      <c r="C25" s="10" t="s">
        <v>126</v>
      </c>
      <c r="D25" s="10"/>
      <c r="E25" s="10"/>
      <c r="F25" s="10"/>
      <c r="H25" s="31">
        <v>591.9</v>
      </c>
      <c r="I25" s="80">
        <v>216.8</v>
      </c>
      <c r="J25" s="81"/>
      <c r="K25" s="286">
        <f>Assumptions!N51</f>
        <v>311.7525</v>
      </c>
      <c r="L25" s="286">
        <f>Assumptions!N50</f>
        <v>0</v>
      </c>
      <c r="M25" s="82"/>
      <c r="N25" s="82">
        <f t="shared" si="0"/>
        <v>1120.4525000000001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25">
      <c r="B26" s="10"/>
      <c r="C26" s="10" t="s">
        <v>127</v>
      </c>
      <c r="D26" s="10"/>
      <c r="E26" s="10"/>
      <c r="F26" s="10"/>
      <c r="H26" s="31">
        <f>97.6+88.1+76.8</f>
        <v>262.5</v>
      </c>
      <c r="I26" s="80">
        <f>17.3+1.8+6.3+30.6</f>
        <v>56</v>
      </c>
      <c r="J26" s="81"/>
      <c r="K26" s="82"/>
      <c r="L26" s="82"/>
      <c r="M26" s="82"/>
      <c r="N26" s="82">
        <f t="shared" si="0"/>
        <v>318.5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B27" s="10"/>
      <c r="C27" s="10" t="s">
        <v>128</v>
      </c>
      <c r="D27" s="10"/>
      <c r="E27" s="10"/>
      <c r="F27" s="10"/>
      <c r="H27" s="31">
        <v>0</v>
      </c>
      <c r="I27" s="80">
        <v>0</v>
      </c>
      <c r="J27" s="81"/>
      <c r="K27" s="82"/>
      <c r="L27" s="82"/>
      <c r="M27" s="82"/>
      <c r="N27" s="82">
        <f t="shared" si="0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25">
      <c r="B28" s="10"/>
      <c r="C28" s="10" t="s">
        <v>129</v>
      </c>
      <c r="D28" s="10"/>
      <c r="E28" s="10"/>
      <c r="F28" s="10"/>
      <c r="H28" s="31">
        <v>34.4</v>
      </c>
      <c r="I28" s="80">
        <v>0</v>
      </c>
      <c r="J28" s="81"/>
      <c r="K28" s="82"/>
      <c r="L28" s="82"/>
      <c r="M28" s="82"/>
      <c r="N28" s="82">
        <f t="shared" si="0"/>
        <v>34.4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x14ac:dyDescent="0.25">
      <c r="B29" s="10"/>
      <c r="C29" s="10" t="s">
        <v>130</v>
      </c>
      <c r="D29" s="10"/>
      <c r="E29" s="10"/>
      <c r="F29" s="10"/>
      <c r="H29" s="83">
        <v>6388.2</v>
      </c>
      <c r="I29" s="84">
        <v>2002.4</v>
      </c>
      <c r="J29" s="85"/>
      <c r="K29" s="287">
        <f>Assumptions!N16</f>
        <v>0</v>
      </c>
      <c r="L29" s="287">
        <f>-(I29+Assumptions!N19)</f>
        <v>-2063.9200988900002</v>
      </c>
      <c r="M29" s="86"/>
      <c r="N29" s="86">
        <f>SUM(H29:M29)</f>
        <v>6326.6799011100002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x14ac:dyDescent="0.25">
      <c r="B30" s="212" t="s">
        <v>149</v>
      </c>
      <c r="C30" s="10"/>
      <c r="D30" s="10"/>
      <c r="E30" s="10"/>
      <c r="F30" s="10"/>
      <c r="H30" s="214">
        <f>SUM(H20:H29)</f>
        <v>10268.9</v>
      </c>
      <c r="I30" s="214">
        <f>SUM(I20:I29)</f>
        <v>3676.6</v>
      </c>
      <c r="J30" s="81"/>
      <c r="K30" s="82"/>
      <c r="L30" s="82"/>
      <c r="M30" s="82"/>
      <c r="N30" s="214">
        <f>SUM(N20:N29)</f>
        <v>16041.743938236516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25">
      <c r="B31" s="10"/>
      <c r="C31" s="198" t="s">
        <v>131</v>
      </c>
      <c r="D31" s="10"/>
      <c r="E31" s="10"/>
      <c r="F31" s="10"/>
      <c r="H31" s="89" t="str">
        <f>IF(ABS(H30-H17)&lt;0.0001,"OK",H30-H17)</f>
        <v>OK</v>
      </c>
      <c r="I31" s="89" t="str">
        <f>IF(ABS(I30-I17)&lt;0.0001,"OK",I30-I17)</f>
        <v>OK</v>
      </c>
      <c r="J31" s="90"/>
      <c r="K31" s="91"/>
      <c r="L31" s="91"/>
      <c r="M31" s="91"/>
      <c r="N31" s="89" t="str">
        <f>IF(ABS(N30-N17)&lt;0.0001,"OK",N30-N17)</f>
        <v>OK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x14ac:dyDescent="0.25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0"/>
      <c r="Q32" s="10"/>
      <c r="R32" s="10"/>
      <c r="S32" s="10"/>
      <c r="T32" s="10"/>
      <c r="U32" s="10"/>
      <c r="V32" s="10"/>
      <c r="W32" s="10"/>
      <c r="X32" s="10"/>
    </row>
    <row r="33" spans="2:24" x14ac:dyDescent="0.25">
      <c r="B33" s="10"/>
      <c r="C33" s="10"/>
      <c r="D33" s="10"/>
      <c r="E33" s="10"/>
      <c r="F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 x14ac:dyDescent="0.25">
      <c r="B34" s="10"/>
      <c r="C34" s="10"/>
      <c r="D34" s="10"/>
      <c r="E34" s="10"/>
      <c r="F34" s="10"/>
      <c r="H34" s="211" t="s">
        <v>132</v>
      </c>
      <c r="I34" s="211"/>
      <c r="J34" s="10"/>
      <c r="K34" s="10"/>
      <c r="L34" s="10"/>
      <c r="M34" s="10"/>
      <c r="N34" s="212" t="s">
        <v>134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 ht="14.4" x14ac:dyDescent="0.3">
      <c r="B35" s="215" t="s">
        <v>150</v>
      </c>
      <c r="C35" s="10"/>
      <c r="D35" s="10"/>
      <c r="E35" s="10"/>
      <c r="F35" s="10"/>
      <c r="H35" s="213" t="s">
        <v>55</v>
      </c>
      <c r="I35" s="213" t="s">
        <v>54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 ht="14.4" x14ac:dyDescent="0.3">
      <c r="C36" s="216" t="s">
        <v>141</v>
      </c>
      <c r="D36" s="10"/>
      <c r="E36" s="10"/>
      <c r="F36" s="10"/>
      <c r="H36" s="87">
        <f>H23+H24+H22</f>
        <v>2023.5</v>
      </c>
      <c r="I36" s="87">
        <f>I23+I24+I22</f>
        <v>1044.5</v>
      </c>
      <c r="J36" s="87"/>
      <c r="K36" s="87"/>
      <c r="L36" s="87"/>
      <c r="M36" s="87"/>
      <c r="N36" s="87">
        <f>N23+N24+N22</f>
        <v>6916.4115371265152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 ht="14.4" x14ac:dyDescent="0.3">
      <c r="C37" s="217" t="s">
        <v>142</v>
      </c>
      <c r="D37" s="10"/>
      <c r="E37" s="10"/>
      <c r="F37" s="10"/>
      <c r="H37" s="87">
        <f>H28</f>
        <v>34.4</v>
      </c>
      <c r="I37" s="87">
        <f>I28</f>
        <v>0</v>
      </c>
      <c r="J37" s="87"/>
      <c r="K37" s="87"/>
      <c r="L37" s="87"/>
      <c r="M37" s="87"/>
      <c r="N37" s="87">
        <f>N28</f>
        <v>34.4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2:24" ht="14.4" x14ac:dyDescent="0.3">
      <c r="C38" s="217" t="s">
        <v>143</v>
      </c>
      <c r="D38" s="10"/>
      <c r="E38" s="10"/>
      <c r="F38" s="10"/>
      <c r="H38" s="87">
        <f>H27</f>
        <v>0</v>
      </c>
      <c r="I38" s="87">
        <f>I27</f>
        <v>0</v>
      </c>
      <c r="J38" s="87"/>
      <c r="K38" s="87"/>
      <c r="L38" s="87"/>
      <c r="M38" s="87"/>
      <c r="N38" s="87">
        <f>N27</f>
        <v>0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2:24" ht="14.4" x14ac:dyDescent="0.3">
      <c r="C39" s="217" t="s">
        <v>144</v>
      </c>
      <c r="D39" s="10"/>
      <c r="E39" s="10"/>
      <c r="F39" s="10"/>
      <c r="H39" s="88">
        <f>-H8</f>
        <v>-688.5</v>
      </c>
      <c r="I39" s="88">
        <f>-I8</f>
        <v>-208.9</v>
      </c>
      <c r="J39" s="88"/>
      <c r="K39" s="88"/>
      <c r="L39" s="88"/>
      <c r="M39" s="88"/>
      <c r="N39" s="88">
        <f>-N8</f>
        <v>-528.27940666000018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2:24" ht="14.4" x14ac:dyDescent="0.3">
      <c r="C40" s="218" t="s">
        <v>145</v>
      </c>
      <c r="D40" s="10"/>
      <c r="E40" s="10"/>
      <c r="F40" s="10"/>
      <c r="H40" s="219">
        <f>SUM(H36:H39)</f>
        <v>1369.4</v>
      </c>
      <c r="I40" s="219">
        <f>SUM(I36:I39)</f>
        <v>835.6</v>
      </c>
      <c r="J40" s="219"/>
      <c r="K40" s="219"/>
      <c r="L40" s="219"/>
      <c r="M40" s="219"/>
      <c r="N40" s="219">
        <f>SUM(N36:N39)</f>
        <v>6422.5321304665149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2:24" ht="14.4" x14ac:dyDescent="0.3">
      <c r="C41" s="4"/>
      <c r="D41" s="10"/>
      <c r="E41" s="10"/>
      <c r="F41" s="10"/>
      <c r="H41" s="59"/>
      <c r="I41" s="59"/>
      <c r="J41" s="59"/>
      <c r="K41" s="59"/>
      <c r="L41" s="59"/>
      <c r="M41" s="59"/>
      <c r="N41" s="59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2:24" ht="14.4" x14ac:dyDescent="0.3">
      <c r="C42" s="216" t="s">
        <v>146</v>
      </c>
      <c r="D42" s="10"/>
      <c r="E42" s="10"/>
      <c r="F42" s="10"/>
      <c r="H42" s="280">
        <f>Assumptions!H11*Shares!N15</f>
        <v>9999.0414022199984</v>
      </c>
      <c r="I42" s="280">
        <f>Assumptions!H20*Shares!J15</f>
        <v>2663.2249261412899</v>
      </c>
      <c r="J42" s="87"/>
      <c r="K42" s="87"/>
      <c r="L42" s="87"/>
      <c r="M42" s="87"/>
      <c r="N42" s="280">
        <f>Assumptions!H11*Shares!N15</f>
        <v>9999.0414022199984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2:24" ht="14.4" x14ac:dyDescent="0.3">
      <c r="C43" s="216" t="s">
        <v>147</v>
      </c>
      <c r="D43" s="10"/>
      <c r="E43" s="10"/>
      <c r="F43" s="10"/>
      <c r="H43" s="87">
        <f>H42+H40</f>
        <v>11368.441402219998</v>
      </c>
      <c r="I43" s="87">
        <f>I42+I40</f>
        <v>3498.8249261412898</v>
      </c>
      <c r="J43" s="87"/>
      <c r="K43" s="87"/>
      <c r="L43" s="87"/>
      <c r="M43" s="87"/>
      <c r="N43" s="87">
        <f>N42+N40</f>
        <v>16421.573532686514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2:24" ht="14.4" x14ac:dyDescent="0.3">
      <c r="C44" s="218" t="str">
        <f>"Adjusted EBITDA for the calendar year ending 2022"</f>
        <v>Adjusted EBITDA for the calendar year ending 2022</v>
      </c>
      <c r="D44" s="10"/>
      <c r="E44" s="10"/>
      <c r="F44" s="10"/>
      <c r="H44" s="280">
        <f>Assumptions!N60</f>
        <v>1111.7</v>
      </c>
      <c r="I44" s="280">
        <f>Assumptions!N61</f>
        <v>388.5</v>
      </c>
      <c r="J44" s="87"/>
      <c r="K44" s="87"/>
      <c r="L44" s="87"/>
      <c r="M44" s="87"/>
      <c r="N44" s="87">
        <f>SUM(H44:I44)</f>
        <v>1500.2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2:24" ht="14.4" x14ac:dyDescent="0.3">
      <c r="C45" s="218" t="str">
        <f>"Synergized Adjusted EBITDA for the calendar year ending 2022"</f>
        <v>Synergized Adjusted EBITDA for the calendar year ending 2022</v>
      </c>
      <c r="D45" s="10"/>
      <c r="E45" s="10"/>
      <c r="F45" s="10"/>
      <c r="H45" s="87"/>
      <c r="I45" s="87"/>
      <c r="J45" s="87"/>
      <c r="K45" s="87"/>
      <c r="L45" s="87"/>
      <c r="M45" s="87"/>
      <c r="N45" s="87">
        <f>N44+Assumptions!H62</f>
        <v>1660.2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2:24" ht="14.4" x14ac:dyDescent="0.3">
      <c r="C46" s="220" t="s">
        <v>285</v>
      </c>
      <c r="D46" s="221"/>
      <c r="E46" s="221"/>
      <c r="F46" s="221"/>
      <c r="G46" s="221"/>
      <c r="H46" s="92">
        <f>H36/H44</f>
        <v>1.8201853017900511</v>
      </c>
      <c r="I46" s="92">
        <f>I36/I44</f>
        <v>2.6885456885456884</v>
      </c>
      <c r="J46" s="92"/>
      <c r="K46" s="92"/>
      <c r="L46" s="92"/>
      <c r="M46" s="92"/>
      <c r="N46" s="93">
        <f>N36/N44</f>
        <v>4.6103263145757332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2:24" ht="14.4" x14ac:dyDescent="0.3">
      <c r="C47" s="184" t="s">
        <v>286</v>
      </c>
      <c r="D47" s="10"/>
      <c r="E47" s="10"/>
      <c r="F47" s="10"/>
      <c r="H47" s="94"/>
      <c r="I47" s="94"/>
      <c r="J47" s="94"/>
      <c r="K47" s="94"/>
      <c r="L47" s="94"/>
      <c r="M47" s="94"/>
      <c r="N47" s="95">
        <f>N36/N45</f>
        <v>4.1660110451310173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2:24" ht="14.4" x14ac:dyDescent="0.3">
      <c r="C48" s="184" t="s">
        <v>287</v>
      </c>
      <c r="D48" s="10"/>
      <c r="E48" s="10"/>
      <c r="F48" s="10"/>
      <c r="H48" s="94">
        <f>H43/H44</f>
        <v>10.226177387982368</v>
      </c>
      <c r="I48" s="94">
        <f>I43/I44</f>
        <v>9.0059843658720453</v>
      </c>
      <c r="J48" s="94"/>
      <c r="K48" s="94"/>
      <c r="L48" s="94"/>
      <c r="M48" s="94"/>
      <c r="N48" s="95">
        <f>N43/N44</f>
        <v>10.946256187632658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2:24" ht="14.4" x14ac:dyDescent="0.3">
      <c r="C49" s="190" t="s">
        <v>148</v>
      </c>
      <c r="D49" s="44"/>
      <c r="E49" s="44"/>
      <c r="F49" s="44"/>
      <c r="G49" s="44"/>
      <c r="H49" s="96">
        <f>H36/H42</f>
        <v>0.20236939908567037</v>
      </c>
      <c r="I49" s="96">
        <f>I36/I42</f>
        <v>0.39219368583838005</v>
      </c>
      <c r="J49" s="96"/>
      <c r="K49" s="96"/>
      <c r="L49" s="96"/>
      <c r="M49" s="96"/>
      <c r="N49" s="97">
        <f>N36/N42</f>
        <v>0.6917074606362692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2:24" x14ac:dyDescent="0.25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10"/>
      <c r="Q50" s="10"/>
      <c r="R50" s="10"/>
      <c r="S50" s="10"/>
      <c r="T50" s="10"/>
      <c r="U50" s="10"/>
      <c r="V50" s="10"/>
      <c r="W50" s="10"/>
      <c r="X50" s="10"/>
    </row>
    <row r="51" spans="2:24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2:24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2:24" x14ac:dyDescent="0.2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2:24" x14ac:dyDescent="0.2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2:24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2:24" x14ac:dyDescent="0.2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2:24" x14ac:dyDescent="0.2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2:24" x14ac:dyDescent="0.2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2:24" x14ac:dyDescent="0.2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2:24" x14ac:dyDescent="0.2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2:24" x14ac:dyDescent="0.2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2:24" x14ac:dyDescent="0.2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2:24" x14ac:dyDescent="0.2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2:24" x14ac:dyDescent="0.2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2:24" x14ac:dyDescent="0.2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</sheetData>
  <printOptions horizontalCentered="1"/>
  <pageMargins left="0.25" right="0.25" top="0.30555555555555558" bottom="0.30555555555555558" header="0.16666666666666666" footer="0.16666666666666666"/>
  <pageSetup fitToHeight="0" orientation="landscape" r:id="rId1"/>
  <rowBreaks count="1" manualBreakCount="1">
    <brk id="32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46F7-75FD-4589-A13F-22C795240358}">
  <sheetPr>
    <pageSetUpPr fitToPage="1"/>
  </sheetPr>
  <dimension ref="A1:V76"/>
  <sheetViews>
    <sheetView topLeftCell="A14" zoomScale="89" workbookViewId="0">
      <selection activeCell="H45" sqref="H45"/>
    </sheetView>
  </sheetViews>
  <sheetFormatPr defaultColWidth="8.88671875" defaultRowHeight="14.4" x14ac:dyDescent="0.3"/>
  <cols>
    <col min="1" max="1" width="2" style="1" customWidth="1"/>
    <col min="2" max="2" width="12.44140625" style="4" customWidth="1"/>
    <col min="3" max="3" width="8.88671875" style="4" customWidth="1"/>
    <col min="4" max="4" width="11.109375" style="4" customWidth="1"/>
    <col min="5" max="9" width="8.88671875" style="4"/>
    <col min="10" max="11" width="10.44140625" style="4" bestFit="1" customWidth="1"/>
    <col min="12" max="12" width="8.88671875" style="4"/>
    <col min="13" max="13" width="8.88671875" style="4" customWidth="1"/>
    <col min="14" max="14" width="11.44140625" style="4" bestFit="1" customWidth="1"/>
    <col min="15" max="15" width="12.88671875" style="4" bestFit="1" customWidth="1"/>
    <col min="16" max="16" width="8.88671875" style="4"/>
    <col min="17" max="17" width="2.6640625" style="4" customWidth="1"/>
    <col min="18" max="16384" width="8.88671875" style="4"/>
  </cols>
  <sheetData>
    <row r="1" spans="1:22" s="3" customFormat="1" ht="13.8" x14ac:dyDescent="0.25">
      <c r="A1" s="1"/>
    </row>
    <row r="2" spans="1:22" s="3" customFormat="1" ht="22.8" x14ac:dyDescent="0.4">
      <c r="A2" s="1"/>
      <c r="B2" s="298" t="str">
        <f>Cover!B11</f>
        <v xml:space="preserve">Regal Rexnord - Altra 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</row>
    <row r="3" spans="1:22" s="3" customFormat="1" ht="23.4" thickBot="1" x14ac:dyDescent="0.45">
      <c r="A3" s="1"/>
      <c r="B3" s="15" t="s">
        <v>151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</row>
    <row r="4" spans="1:22" s="3" customFormat="1" ht="13.8" x14ac:dyDescent="0.25">
      <c r="A4" s="1"/>
      <c r="B4" s="245" t="s">
        <v>72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10"/>
      <c r="S4" s="10"/>
      <c r="T4" s="10"/>
      <c r="U4" s="10"/>
      <c r="V4" s="10"/>
    </row>
    <row r="6" spans="1:22" x14ac:dyDescent="0.3">
      <c r="C6" s="222" t="s">
        <v>152</v>
      </c>
      <c r="M6" s="117" t="s">
        <v>209</v>
      </c>
      <c r="N6" s="117" t="s">
        <v>153</v>
      </c>
      <c r="O6" s="228" t="s">
        <v>233</v>
      </c>
    </row>
    <row r="7" spans="1:22" x14ac:dyDescent="0.3">
      <c r="C7" s="259" t="s">
        <v>210</v>
      </c>
      <c r="D7" s="218"/>
      <c r="M7" s="118">
        <v>44926</v>
      </c>
      <c r="N7" s="118">
        <v>44926</v>
      </c>
      <c r="O7" s="118">
        <v>44926</v>
      </c>
    </row>
    <row r="8" spans="1:22" x14ac:dyDescent="0.3">
      <c r="D8" s="218"/>
      <c r="M8" s="118"/>
      <c r="N8" s="118"/>
    </row>
    <row r="9" spans="1:22" x14ac:dyDescent="0.3">
      <c r="C9" s="223" t="s">
        <v>55</v>
      </c>
    </row>
    <row r="10" spans="1:22" x14ac:dyDescent="0.3">
      <c r="D10" s="218" t="s">
        <v>154</v>
      </c>
      <c r="M10" s="224">
        <v>488.9</v>
      </c>
      <c r="N10" s="224">
        <v>488.9</v>
      </c>
      <c r="O10" s="224">
        <v>488.9</v>
      </c>
    </row>
    <row r="11" spans="1:22" x14ac:dyDescent="0.3">
      <c r="D11" s="218" t="s">
        <v>155</v>
      </c>
      <c r="M11" s="113">
        <v>7.29</v>
      </c>
      <c r="N11" s="113">
        <v>7.29</v>
      </c>
      <c r="O11" s="113">
        <v>7.29</v>
      </c>
    </row>
    <row r="12" spans="1:22" x14ac:dyDescent="0.3">
      <c r="D12" s="218" t="s">
        <v>156</v>
      </c>
      <c r="M12" s="112">
        <f>M10/M11</f>
        <v>67.064471879286685</v>
      </c>
      <c r="N12" s="112">
        <f>N10/N11</f>
        <v>67.064471879286685</v>
      </c>
      <c r="O12" s="112">
        <f>O10/O11</f>
        <v>67.064471879286685</v>
      </c>
    </row>
    <row r="13" spans="1:22" x14ac:dyDescent="0.3">
      <c r="C13" s="225" t="s">
        <v>54</v>
      </c>
    </row>
    <row r="14" spans="1:22" x14ac:dyDescent="0.3">
      <c r="D14" s="218" t="s">
        <v>154</v>
      </c>
      <c r="M14" s="224">
        <v>127</v>
      </c>
      <c r="N14" s="224">
        <v>127</v>
      </c>
      <c r="O14" s="224">
        <v>127</v>
      </c>
    </row>
    <row r="15" spans="1:22" x14ac:dyDescent="0.3">
      <c r="D15" s="218" t="s">
        <v>155</v>
      </c>
      <c r="M15" s="113">
        <v>1.94</v>
      </c>
      <c r="N15" s="113">
        <v>1.94</v>
      </c>
      <c r="O15" s="113">
        <v>1.94</v>
      </c>
    </row>
    <row r="16" spans="1:22" x14ac:dyDescent="0.3">
      <c r="D16" s="218" t="s">
        <v>156</v>
      </c>
      <c r="M16" s="112">
        <f>M14/M15</f>
        <v>65.463917525773198</v>
      </c>
      <c r="N16" s="112">
        <f>N14/N15</f>
        <v>65.463917525773198</v>
      </c>
      <c r="O16" s="112">
        <f>O14/O15</f>
        <v>65.463917525773198</v>
      </c>
    </row>
    <row r="18" spans="1:15" ht="16.2" x14ac:dyDescent="0.3">
      <c r="C18" s="226" t="s">
        <v>157</v>
      </c>
    </row>
    <row r="19" spans="1:15" x14ac:dyDescent="0.3">
      <c r="D19" s="218" t="s">
        <v>158</v>
      </c>
      <c r="M19" s="280">
        <f>-Assumptions!$H$56 * 'Pro Forma BS'!$K$23</f>
        <v>-303.36051530184392</v>
      </c>
      <c r="N19" s="280">
        <f>-Assumptions!$H$56 * 'Pro Forma BS'!$K$23</f>
        <v>-303.36051530184392</v>
      </c>
      <c r="O19" s="280">
        <f>-Assumptions!$H$56 * 'Pro Forma BS'!$K$23</f>
        <v>-303.36051530184392</v>
      </c>
    </row>
    <row r="20" spans="1:15" x14ac:dyDescent="0.3">
      <c r="D20" s="218" t="s">
        <v>212</v>
      </c>
      <c r="M20" s="280">
        <f>Assumptions!$H$66</f>
        <v>51.5</v>
      </c>
      <c r="N20" s="280">
        <f>Assumptions!$H$66</f>
        <v>51.5</v>
      </c>
      <c r="O20" s="280">
        <f>Assumptions!$H$66</f>
        <v>51.5</v>
      </c>
    </row>
    <row r="21" spans="1:15" x14ac:dyDescent="0.3">
      <c r="D21" s="218" t="s">
        <v>159</v>
      </c>
      <c r="M21" s="280">
        <f>Assumptions!$H$57*'Pro Forma BS'!$L$8</f>
        <v>-18.456029666999992</v>
      </c>
      <c r="N21" s="280">
        <f>Assumptions!$H$57*'Pro Forma BS'!$L$8</f>
        <v>-18.456029666999992</v>
      </c>
      <c r="O21" s="280">
        <f>Assumptions!$H$57*'Pro Forma BS'!$L$8</f>
        <v>-18.456029666999992</v>
      </c>
    </row>
    <row r="22" spans="1:15" x14ac:dyDescent="0.3">
      <c r="D22" s="218" t="s">
        <v>160</v>
      </c>
      <c r="M22" s="280">
        <f>Assumptions!$H$62</f>
        <v>160</v>
      </c>
      <c r="N22" s="280">
        <f>Assumptions!$H$62</f>
        <v>160</v>
      </c>
      <c r="O22" s="280">
        <f>Assumptions!$H$62</f>
        <v>160</v>
      </c>
    </row>
    <row r="23" spans="1:15" x14ac:dyDescent="0.3">
      <c r="D23" s="227" t="s">
        <v>232</v>
      </c>
      <c r="M23" s="280">
        <f>-(Assumptions!N30)</f>
        <v>-5.5019999999999998</v>
      </c>
      <c r="N23" s="224">
        <v>0</v>
      </c>
      <c r="O23" s="280">
        <f>-(Assumptions!N30)</f>
        <v>-5.5019999999999998</v>
      </c>
    </row>
    <row r="24" spans="1:15" x14ac:dyDescent="0.3">
      <c r="D24" s="227" t="s">
        <v>234</v>
      </c>
      <c r="M24" s="280">
        <f>-(Assumptions!N38)</f>
        <v>-89.575384615384621</v>
      </c>
      <c r="N24" s="224">
        <v>0</v>
      </c>
      <c r="O24" s="224">
        <v>0</v>
      </c>
    </row>
    <row r="25" spans="1:15" x14ac:dyDescent="0.3">
      <c r="A25" s="3"/>
      <c r="D25" s="227" t="s">
        <v>161</v>
      </c>
      <c r="M25" s="280">
        <f>-Assumptions!$H$55</f>
        <v>-8.6781119962722215</v>
      </c>
      <c r="N25" s="224">
        <v>0</v>
      </c>
      <c r="O25" s="280">
        <f>-Assumptions!$H$55</f>
        <v>-8.6781119962722215</v>
      </c>
    </row>
    <row r="26" spans="1:15" x14ac:dyDescent="0.3">
      <c r="A26" s="3"/>
      <c r="D26" s="227" t="s">
        <v>236</v>
      </c>
      <c r="M26" s="224">
        <v>0</v>
      </c>
      <c r="N26" s="224">
        <v>0</v>
      </c>
      <c r="O26" s="280">
        <f>Assumptions!N62</f>
        <v>185.5</v>
      </c>
    </row>
    <row r="27" spans="1:15" x14ac:dyDescent="0.3">
      <c r="A27" s="3"/>
      <c r="D27" s="227" t="s">
        <v>237</v>
      </c>
      <c r="M27" s="224">
        <v>0</v>
      </c>
      <c r="N27" s="224">
        <v>0</v>
      </c>
      <c r="O27" s="280">
        <f>Assumptions!N63</f>
        <v>55.2</v>
      </c>
    </row>
    <row r="28" spans="1:15" x14ac:dyDescent="0.3">
      <c r="A28" s="3"/>
      <c r="D28" s="227" t="s">
        <v>238</v>
      </c>
      <c r="M28" s="224">
        <v>0</v>
      </c>
      <c r="N28" s="224">
        <v>0</v>
      </c>
      <c r="O28" s="280">
        <f>Assumptions!N64</f>
        <v>46.8</v>
      </c>
    </row>
    <row r="29" spans="1:15" x14ac:dyDescent="0.3">
      <c r="A29" s="3"/>
      <c r="D29" s="227" t="s">
        <v>239</v>
      </c>
      <c r="M29" s="224">
        <v>0</v>
      </c>
      <c r="N29" s="224">
        <v>0</v>
      </c>
      <c r="O29" s="280">
        <f>Assumptions!N65</f>
        <v>19</v>
      </c>
    </row>
    <row r="30" spans="1:15" x14ac:dyDescent="0.3">
      <c r="D30" s="218" t="s">
        <v>162</v>
      </c>
      <c r="I30" s="228"/>
      <c r="J30" s="228"/>
      <c r="K30" s="228"/>
      <c r="L30" s="228"/>
      <c r="M30" s="112">
        <f>-(SUM(M19:M25)*Assumptions!$H$64)</f>
        <v>41.529976066617145</v>
      </c>
      <c r="N30" s="112">
        <f>-(SUM(N19:N25)*Assumptions!$H$64)</f>
        <v>21.401409723955719</v>
      </c>
      <c r="O30" s="112">
        <f>-(SUM(O19:O29)*Assumptions!$H$64)</f>
        <v>-35.308648548767472</v>
      </c>
    </row>
    <row r="31" spans="1:15" x14ac:dyDescent="0.3">
      <c r="D31" s="229" t="s">
        <v>163</v>
      </c>
      <c r="I31" s="228"/>
      <c r="J31" s="228"/>
      <c r="K31" s="228"/>
      <c r="L31" s="228"/>
      <c r="M31" s="112">
        <f>SUM(M19:M30)</f>
        <v>-172.54206551388361</v>
      </c>
      <c r="N31" s="112">
        <f>SUM(N19:N30)</f>
        <v>-88.915135244888191</v>
      </c>
      <c r="O31" s="112">
        <f>SUM(O19:O30)</f>
        <v>146.69469448611639</v>
      </c>
    </row>
    <row r="32" spans="1:15" x14ac:dyDescent="0.3">
      <c r="D32" s="218"/>
    </row>
    <row r="33" spans="2:17" x14ac:dyDescent="0.3">
      <c r="D33" s="229" t="s">
        <v>235</v>
      </c>
      <c r="M33" s="112">
        <f>M31+M14+M10</f>
        <v>443.35793448611639</v>
      </c>
      <c r="N33" s="112">
        <f>N31+N14+N10</f>
        <v>526.98486475511174</v>
      </c>
      <c r="O33" s="112">
        <f>O31+O14+O10</f>
        <v>762.5946944861164</v>
      </c>
    </row>
    <row r="34" spans="2:17" x14ac:dyDescent="0.3">
      <c r="D34" s="218" t="s">
        <v>164</v>
      </c>
      <c r="M34" s="280">
        <f>M12+Assumptions!$H$31</f>
        <v>67.064471879286685</v>
      </c>
      <c r="N34" s="280">
        <f>N12+Assumptions!$H$31</f>
        <v>67.064471879286685</v>
      </c>
      <c r="O34" s="280">
        <f>O12+Assumptions!$H$31</f>
        <v>67.064471879286685</v>
      </c>
    </row>
    <row r="36" spans="2:17" x14ac:dyDescent="0.3">
      <c r="C36" s="230" t="s">
        <v>196</v>
      </c>
      <c r="D36" s="231"/>
      <c r="E36" s="231"/>
      <c r="F36" s="231"/>
      <c r="G36" s="231"/>
      <c r="H36" s="231"/>
      <c r="I36" s="232"/>
      <c r="J36" s="232"/>
      <c r="K36" s="232"/>
      <c r="L36" s="232"/>
      <c r="M36" s="301">
        <f>M33/M34</f>
        <v>6.6109211339819778</v>
      </c>
      <c r="N36" s="247">
        <f>N33/N34</f>
        <v>7.8578843609424522</v>
      </c>
      <c r="O36" s="114">
        <f>O33/O34</f>
        <v>11.371068363272222</v>
      </c>
    </row>
    <row r="37" spans="2:17" x14ac:dyDescent="0.3">
      <c r="C37" s="233" t="s">
        <v>241</v>
      </c>
      <c r="M37" s="248">
        <f>M11</f>
        <v>7.29</v>
      </c>
      <c r="N37" s="248">
        <f>N11</f>
        <v>7.29</v>
      </c>
      <c r="O37" s="115">
        <f>O11 + (Assumptions!N62+Assumptions!N64+Assumptions!N65)*(1-Assumptions!H64)/O12</f>
        <v>10.31019525874412</v>
      </c>
    </row>
    <row r="38" spans="2:17" x14ac:dyDescent="0.3">
      <c r="C38" s="234" t="s">
        <v>166</v>
      </c>
      <c r="M38" s="248">
        <f>M36-M37</f>
        <v>-0.67907886601802225</v>
      </c>
      <c r="N38" s="248">
        <f>N36-N37</f>
        <v>0.5678843609424522</v>
      </c>
      <c r="O38" s="115">
        <f>O36-O37</f>
        <v>1.0608731045281026</v>
      </c>
    </row>
    <row r="39" spans="2:17" x14ac:dyDescent="0.3">
      <c r="C39" s="233" t="s">
        <v>167</v>
      </c>
      <c r="M39" s="249">
        <f>M38/M37</f>
        <v>-9.3152107821402236E-2</v>
      </c>
      <c r="N39" s="249">
        <f>N38/N37</f>
        <v>7.7899089292517446E-2</v>
      </c>
      <c r="O39" s="116">
        <f>O38/O37</f>
        <v>0.10289553959983169</v>
      </c>
    </row>
    <row r="40" spans="2:17" x14ac:dyDescent="0.3">
      <c r="C40" s="235" t="s">
        <v>168</v>
      </c>
      <c r="D40" s="141"/>
      <c r="E40" s="141"/>
      <c r="F40" s="141"/>
      <c r="G40" s="141"/>
      <c r="H40" s="141"/>
      <c r="I40" s="236"/>
      <c r="J40" s="236"/>
      <c r="K40" s="236"/>
      <c r="L40" s="236"/>
      <c r="M40" s="302">
        <f>MAX(0,-(M38*M34/(1-Assumptions!$H$64)))</f>
        <v>56.503803367101163</v>
      </c>
      <c r="N40" s="250">
        <f>MAX(0,-(N38*N34/(1-Assumptions!$H$64)))</f>
        <v>0</v>
      </c>
      <c r="O40" s="60">
        <f>MAX(0,-(O38*O34/(1-Assumptions!$H$64)))</f>
        <v>0</v>
      </c>
    </row>
    <row r="41" spans="2:17" x14ac:dyDescent="0.3"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</row>
    <row r="43" spans="2:17" x14ac:dyDescent="0.3">
      <c r="B43" s="228" t="s">
        <v>169</v>
      </c>
    </row>
    <row r="45" spans="2:17" x14ac:dyDescent="0.3">
      <c r="B45" s="237" t="s">
        <v>214</v>
      </c>
      <c r="C45" s="231"/>
      <c r="D45" s="231"/>
      <c r="E45" s="315">
        <v>160</v>
      </c>
    </row>
    <row r="46" spans="2:17" x14ac:dyDescent="0.3">
      <c r="B46" s="135" t="s">
        <v>34</v>
      </c>
      <c r="E46" s="73">
        <v>6.2E-2</v>
      </c>
    </row>
    <row r="47" spans="2:17" x14ac:dyDescent="0.3">
      <c r="B47" s="135" t="s">
        <v>170</v>
      </c>
      <c r="E47" s="312">
        <v>62</v>
      </c>
    </row>
    <row r="48" spans="2:17" x14ac:dyDescent="0.3">
      <c r="B48" s="169" t="s">
        <v>178</v>
      </c>
      <c r="C48" s="141"/>
      <c r="D48" s="141"/>
      <c r="E48" s="74">
        <v>0.91</v>
      </c>
    </row>
    <row r="50" spans="2:16" x14ac:dyDescent="0.3">
      <c r="B50" s="252"/>
      <c r="C50" s="251"/>
      <c r="D50" s="240" t="s">
        <v>208</v>
      </c>
      <c r="E50" s="253"/>
      <c r="F50" s="253"/>
      <c r="G50" s="253"/>
      <c r="H50" s="254"/>
      <c r="J50" s="252"/>
      <c r="K50" s="251"/>
      <c r="L50" s="240" t="s">
        <v>208</v>
      </c>
      <c r="M50" s="253"/>
      <c r="N50" s="253"/>
      <c r="O50" s="253"/>
      <c r="P50" s="254"/>
    </row>
    <row r="51" spans="2:16" x14ac:dyDescent="0.3">
      <c r="B51" s="238"/>
      <c r="C51" s="239"/>
      <c r="D51" s="240" t="s">
        <v>179</v>
      </c>
      <c r="E51" s="240"/>
      <c r="F51" s="240"/>
      <c r="G51" s="240"/>
      <c r="H51" s="241"/>
      <c r="J51" s="238"/>
      <c r="K51" s="239"/>
      <c r="L51" s="240" t="s">
        <v>171</v>
      </c>
      <c r="M51" s="240"/>
      <c r="N51" s="240"/>
      <c r="O51" s="240"/>
      <c r="P51" s="241"/>
    </row>
    <row r="52" spans="2:16" x14ac:dyDescent="0.3">
      <c r="B52" s="62"/>
      <c r="C52" s="65">
        <f>M38</f>
        <v>-0.67907886601802225</v>
      </c>
      <c r="D52" s="314">
        <f>E52-2</f>
        <v>58</v>
      </c>
      <c r="E52" s="314">
        <f>F52-2</f>
        <v>60</v>
      </c>
      <c r="F52" s="313">
        <v>62</v>
      </c>
      <c r="G52" s="314">
        <f>F52+2</f>
        <v>64</v>
      </c>
      <c r="H52" s="314">
        <f>G52+2</f>
        <v>66</v>
      </c>
      <c r="J52" s="62"/>
      <c r="K52" s="65">
        <f>M38</f>
        <v>-0.67907886601802225</v>
      </c>
      <c r="L52" s="314">
        <f>M52-10</f>
        <v>140</v>
      </c>
      <c r="M52" s="314">
        <f>N52-10</f>
        <v>150</v>
      </c>
      <c r="N52" s="313">
        <v>160</v>
      </c>
      <c r="O52" s="314">
        <f>N52+10</f>
        <v>170</v>
      </c>
      <c r="P52" s="314">
        <f>O52+10</f>
        <v>180</v>
      </c>
    </row>
    <row r="53" spans="2:16" ht="15" customHeight="1" x14ac:dyDescent="0.3">
      <c r="B53" s="72" t="s">
        <v>175</v>
      </c>
      <c r="C53" s="66">
        <f>C54-0.045</f>
        <v>0.82</v>
      </c>
      <c r="D53" s="67">
        <f t="dataTable" ref="D53:H57" dt2D="1" dtr="1" r1="E47" r2="E48"/>
        <v>-0.41356002897509025</v>
      </c>
      <c r="E53" s="68">
        <v>-0.51416977271154973</v>
      </c>
      <c r="F53" s="68">
        <v>-0.61477951644800655</v>
      </c>
      <c r="G53" s="68">
        <v>-0.71538926018446514</v>
      </c>
      <c r="H53" s="68">
        <v>-0.81599900392092284</v>
      </c>
      <c r="J53" s="72" t="s">
        <v>172</v>
      </c>
      <c r="K53" s="66">
        <f>K54-0.0025</f>
        <v>5.6999999999999995E-2</v>
      </c>
      <c r="L53" s="67">
        <f t="dataTable" ref="L53:P57" dt2D="1" dtr="1" r1="E45" r2="E46" ca="1"/>
        <v>-0.62542253512054113</v>
      </c>
      <c r="M53" s="68">
        <v>-0.5052396756400741</v>
      </c>
      <c r="N53" s="68">
        <v>-0.38505681615960796</v>
      </c>
      <c r="O53" s="68">
        <v>-0.26487395667914093</v>
      </c>
      <c r="P53" s="68">
        <v>-0.14469109719867568</v>
      </c>
    </row>
    <row r="54" spans="2:16" ht="15" customHeight="1" x14ac:dyDescent="0.3">
      <c r="B54" s="72" t="s">
        <v>177</v>
      </c>
      <c r="C54" s="66">
        <f>C55-0.045</f>
        <v>0.86499999999999999</v>
      </c>
      <c r="D54" s="69">
        <v>-0.44362158887487535</v>
      </c>
      <c r="E54" s="70">
        <v>-0.54527539005394576</v>
      </c>
      <c r="F54" s="70">
        <v>-0.6469291912330144</v>
      </c>
      <c r="G54" s="70">
        <v>-0.74858299241208393</v>
      </c>
      <c r="H54" s="70">
        <v>-0.85023679359115434</v>
      </c>
      <c r="J54" s="72" t="s">
        <v>173</v>
      </c>
      <c r="K54" s="66">
        <f>K55-0.0025</f>
        <v>5.9499999999999997E-2</v>
      </c>
      <c r="L54" s="69">
        <v>-0.77243356004974828</v>
      </c>
      <c r="M54" s="70">
        <v>-0.65225070056928214</v>
      </c>
      <c r="N54" s="70">
        <v>-0.53206784108881511</v>
      </c>
      <c r="O54" s="70">
        <v>-0.41188498160834897</v>
      </c>
      <c r="P54" s="70">
        <v>-0.29170212212788282</v>
      </c>
    </row>
    <row r="55" spans="2:16" ht="15" customHeight="1" x14ac:dyDescent="0.3">
      <c r="B55" s="72" t="s">
        <v>176</v>
      </c>
      <c r="C55" s="279">
        <v>0.91</v>
      </c>
      <c r="D55" s="69">
        <v>-0.47368314877466045</v>
      </c>
      <c r="E55" s="70">
        <v>-0.57638100739634091</v>
      </c>
      <c r="F55" s="71">
        <v>-0.67907886601802225</v>
      </c>
      <c r="G55" s="70">
        <v>-0.78177672463970538</v>
      </c>
      <c r="H55" s="70">
        <v>-0.88447458326138584</v>
      </c>
      <c r="J55" s="72" t="s">
        <v>174</v>
      </c>
      <c r="K55" s="279">
        <v>6.2E-2</v>
      </c>
      <c r="L55" s="69">
        <v>-0.91944458497895543</v>
      </c>
      <c r="M55" s="70">
        <v>-0.7992617254984884</v>
      </c>
      <c r="N55" s="71">
        <v>-0.67907886601802225</v>
      </c>
      <c r="O55" s="70">
        <v>-0.558896006537557</v>
      </c>
      <c r="P55" s="70">
        <v>-0.43871314705708908</v>
      </c>
    </row>
    <row r="56" spans="2:16" ht="15" customHeight="1" x14ac:dyDescent="0.3">
      <c r="B56" s="63"/>
      <c r="C56" s="66">
        <f>C55+0.045</f>
        <v>0.95500000000000007</v>
      </c>
      <c r="D56" s="69">
        <v>-0.50374470867444465</v>
      </c>
      <c r="E56" s="70">
        <v>-0.60748662473873871</v>
      </c>
      <c r="F56" s="70">
        <v>-0.711228540803031</v>
      </c>
      <c r="G56" s="70">
        <v>-0.81497045686732328</v>
      </c>
      <c r="H56" s="70">
        <v>-0.91871237293161645</v>
      </c>
      <c r="J56" s="63"/>
      <c r="K56" s="66">
        <f>K55+0.0025</f>
        <v>6.4500000000000002E-2</v>
      </c>
      <c r="L56" s="69">
        <v>-1.0664556099081617</v>
      </c>
      <c r="M56" s="70">
        <v>-0.94627275042769643</v>
      </c>
      <c r="N56" s="70">
        <v>-0.82608989094723029</v>
      </c>
      <c r="O56" s="70">
        <v>-0.70590703146676415</v>
      </c>
      <c r="P56" s="70">
        <v>-0.58572417198629712</v>
      </c>
    </row>
    <row r="57" spans="2:16" ht="15" customHeight="1" x14ac:dyDescent="0.3">
      <c r="B57" s="64"/>
      <c r="C57" s="66">
        <f>C56+0.045</f>
        <v>1</v>
      </c>
      <c r="D57" s="69">
        <v>-0.53380626857423064</v>
      </c>
      <c r="E57" s="70">
        <v>-0.63859224208113385</v>
      </c>
      <c r="F57" s="70">
        <v>-0.74337821558803796</v>
      </c>
      <c r="G57" s="70">
        <v>-0.84816418909494296</v>
      </c>
      <c r="H57" s="70">
        <v>-0.95295016260184706</v>
      </c>
      <c r="J57" s="64"/>
      <c r="K57" s="66">
        <f>K56+0.0025</f>
        <v>6.7000000000000004E-2</v>
      </c>
      <c r="L57" s="69">
        <v>-1.2134666348373697</v>
      </c>
      <c r="M57" s="70">
        <v>-1.0932837753569036</v>
      </c>
      <c r="N57" s="70">
        <v>-0.97310091587643743</v>
      </c>
      <c r="O57" s="70">
        <v>-0.8529180563959704</v>
      </c>
      <c r="P57" s="70">
        <v>-0.73273519691550426</v>
      </c>
    </row>
    <row r="58" spans="2:16" x14ac:dyDescent="0.3">
      <c r="B58" s="16"/>
    </row>
    <row r="59" spans="2:16" x14ac:dyDescent="0.3">
      <c r="B59" s="252"/>
      <c r="C59" s="251"/>
      <c r="D59" s="240" t="s">
        <v>207</v>
      </c>
      <c r="E59" s="253"/>
      <c r="F59" s="253"/>
      <c r="G59" s="253"/>
      <c r="H59" s="254"/>
      <c r="J59" s="252"/>
      <c r="K59" s="251"/>
      <c r="L59" s="240" t="s">
        <v>207</v>
      </c>
      <c r="M59" s="253"/>
      <c r="N59" s="253"/>
      <c r="O59" s="253"/>
      <c r="P59" s="254"/>
    </row>
    <row r="60" spans="2:16" x14ac:dyDescent="0.3">
      <c r="B60" s="238"/>
      <c r="C60" s="239"/>
      <c r="D60" s="240" t="s">
        <v>179</v>
      </c>
      <c r="E60" s="240"/>
      <c r="F60" s="240"/>
      <c r="G60" s="240"/>
      <c r="H60" s="241"/>
      <c r="J60" s="238"/>
      <c r="K60" s="239"/>
      <c r="L60" s="240" t="s">
        <v>171</v>
      </c>
      <c r="M60" s="240"/>
      <c r="N60" s="240"/>
      <c r="O60" s="240"/>
      <c r="P60" s="241"/>
    </row>
    <row r="61" spans="2:16" x14ac:dyDescent="0.3">
      <c r="B61" s="62"/>
      <c r="C61" s="65">
        <f>N38</f>
        <v>0.5678843609424522</v>
      </c>
      <c r="D61" s="314">
        <f>E61-2</f>
        <v>58</v>
      </c>
      <c r="E61" s="314">
        <f>F61-2</f>
        <v>60</v>
      </c>
      <c r="F61" s="313">
        <v>62</v>
      </c>
      <c r="G61" s="314">
        <f>F61+2</f>
        <v>64</v>
      </c>
      <c r="H61" s="314">
        <f>G61+2</f>
        <v>66</v>
      </c>
      <c r="J61" s="62"/>
      <c r="K61" s="65">
        <f>N38</f>
        <v>0.5678843609424522</v>
      </c>
      <c r="L61" s="314">
        <f>M61-10</f>
        <v>140</v>
      </c>
      <c r="M61" s="314">
        <f>N61-10</f>
        <v>150</v>
      </c>
      <c r="N61" s="313">
        <v>160</v>
      </c>
      <c r="O61" s="314">
        <f>N61+10</f>
        <v>170</v>
      </c>
      <c r="P61" s="314">
        <f>O61+10</f>
        <v>180</v>
      </c>
    </row>
    <row r="62" spans="2:16" x14ac:dyDescent="0.3">
      <c r="B62" s="72" t="s">
        <v>175</v>
      </c>
      <c r="C62" s="66">
        <f>C63-0.045</f>
        <v>0.82</v>
      </c>
      <c r="D62" s="67">
        <f t="dataTable" ref="D62:H66" dt2D="1" dtr="1" r1="E47" r2="E48" ca="1"/>
        <v>0.82065141025937738</v>
      </c>
      <c r="E62" s="68">
        <v>0.72243906639442823</v>
      </c>
      <c r="F62" s="68">
        <v>0.62422672252948175</v>
      </c>
      <c r="G62" s="68">
        <v>0.52601437866453438</v>
      </c>
      <c r="H62" s="68">
        <v>0.42780203479958523</v>
      </c>
      <c r="J62" s="72" t="s">
        <v>172</v>
      </c>
      <c r="K62" s="66">
        <f>K63-0.0025</f>
        <v>5.6999999999999995E-2</v>
      </c>
      <c r="L62" s="67">
        <f t="dataTable" ref="L62:P66" dt2D="1" dtr="1" r1="E45" r2="E46" ca="1"/>
        <v>0.6215406918399351</v>
      </c>
      <c r="M62" s="68">
        <v>0.74172355132040035</v>
      </c>
      <c r="N62" s="68">
        <v>0.86190641080086916</v>
      </c>
      <c r="O62" s="68">
        <v>0.98208927028133441</v>
      </c>
      <c r="P62" s="68">
        <v>1.1022721297618014</v>
      </c>
    </row>
    <row r="63" spans="2:16" x14ac:dyDescent="0.3">
      <c r="B63" s="72" t="s">
        <v>177</v>
      </c>
      <c r="C63" s="66">
        <f>C64-0.045</f>
        <v>0.86499999999999999</v>
      </c>
      <c r="D63" s="69">
        <v>0.7943099419697246</v>
      </c>
      <c r="E63" s="70">
        <v>0.69518274185284579</v>
      </c>
      <c r="F63" s="70">
        <v>0.59605554173596609</v>
      </c>
      <c r="G63" s="70">
        <v>0.49692834161908905</v>
      </c>
      <c r="H63" s="70">
        <v>0.39780114150220935</v>
      </c>
      <c r="J63" s="72" t="s">
        <v>173</v>
      </c>
      <c r="K63" s="66">
        <f>K64-0.0025</f>
        <v>5.9499999999999997E-2</v>
      </c>
      <c r="L63" s="69">
        <v>0.47452966691072884</v>
      </c>
      <c r="M63" s="70">
        <v>0.5947125263911941</v>
      </c>
      <c r="N63" s="70">
        <v>0.71489538587165935</v>
      </c>
      <c r="O63" s="70">
        <v>0.83507824535212638</v>
      </c>
      <c r="P63" s="70">
        <v>0.95526110483259341</v>
      </c>
    </row>
    <row r="64" spans="2:16" x14ac:dyDescent="0.3">
      <c r="B64" s="72" t="s">
        <v>176</v>
      </c>
      <c r="C64" s="279">
        <v>0.91</v>
      </c>
      <c r="D64" s="69">
        <v>0.76796847368007359</v>
      </c>
      <c r="E64" s="70">
        <v>0.66792641731126423</v>
      </c>
      <c r="F64" s="71">
        <v>0.5678843609424522</v>
      </c>
      <c r="G64" s="70">
        <v>0.46784230457364284</v>
      </c>
      <c r="H64" s="70">
        <v>0.3678002482048317</v>
      </c>
      <c r="J64" s="72" t="s">
        <v>174</v>
      </c>
      <c r="K64" s="279">
        <v>6.2E-2</v>
      </c>
      <c r="L64" s="69">
        <v>0.32751864198152081</v>
      </c>
      <c r="M64" s="70">
        <v>0.44770150146198695</v>
      </c>
      <c r="N64" s="71">
        <v>0.5678843609424522</v>
      </c>
      <c r="O64" s="70">
        <v>0.68806722042292012</v>
      </c>
      <c r="P64" s="70">
        <v>0.80825007990338538</v>
      </c>
    </row>
    <row r="65" spans="1:17" x14ac:dyDescent="0.3">
      <c r="B65" s="63"/>
      <c r="C65" s="66">
        <f>C64+0.045</f>
        <v>0.95500000000000007</v>
      </c>
      <c r="D65" s="69">
        <v>0.74162700539042259</v>
      </c>
      <c r="E65" s="70">
        <v>0.6406700927696809</v>
      </c>
      <c r="F65" s="70">
        <v>0.53971318014893921</v>
      </c>
      <c r="G65" s="70">
        <v>0.43875626752819663</v>
      </c>
      <c r="H65" s="70">
        <v>0.33779935490745494</v>
      </c>
      <c r="J65" s="63"/>
      <c r="K65" s="66">
        <f>K64+0.0025</f>
        <v>6.4500000000000002E-2</v>
      </c>
      <c r="L65" s="69">
        <v>0.18050761705231277</v>
      </c>
      <c r="M65" s="70">
        <v>0.3006904765327798</v>
      </c>
      <c r="N65" s="70">
        <v>0.42087333601324595</v>
      </c>
      <c r="O65" s="70">
        <v>0.54105619549371298</v>
      </c>
      <c r="P65" s="70">
        <v>0.66123905497417823</v>
      </c>
    </row>
    <row r="66" spans="1:17" x14ac:dyDescent="0.3">
      <c r="B66" s="64"/>
      <c r="C66" s="66">
        <f>C65+0.045</f>
        <v>1</v>
      </c>
      <c r="D66" s="69">
        <v>0.71528553710077158</v>
      </c>
      <c r="E66" s="70">
        <v>0.61341376822809845</v>
      </c>
      <c r="F66" s="70">
        <v>0.51154199935542533</v>
      </c>
      <c r="G66" s="70">
        <v>0.40967023048275131</v>
      </c>
      <c r="H66" s="70">
        <v>0.30779846161007907</v>
      </c>
      <c r="J66" s="64"/>
      <c r="K66" s="66">
        <f>K65+0.0025</f>
        <v>6.7000000000000004E-2</v>
      </c>
      <c r="L66" s="69">
        <v>3.3496592123105629E-2</v>
      </c>
      <c r="M66" s="70">
        <v>0.15367945160357266</v>
      </c>
      <c r="N66" s="70">
        <v>0.2738623110840388</v>
      </c>
      <c r="O66" s="70">
        <v>0.39404517056450583</v>
      </c>
      <c r="P66" s="70">
        <v>0.51422803004497109</v>
      </c>
    </row>
    <row r="67" spans="1:17" x14ac:dyDescent="0.3">
      <c r="A67" s="3"/>
      <c r="B67" s="305"/>
      <c r="C67" s="306"/>
      <c r="D67" s="307"/>
      <c r="E67" s="307"/>
      <c r="F67" s="307"/>
      <c r="G67" s="307"/>
      <c r="H67" s="307"/>
      <c r="J67" s="305"/>
      <c r="K67" s="306"/>
      <c r="L67" s="307"/>
      <c r="M67" s="307"/>
      <c r="N67" s="307"/>
      <c r="O67" s="307"/>
      <c r="P67" s="307"/>
    </row>
    <row r="68" spans="1:17" x14ac:dyDescent="0.3">
      <c r="A68" s="3"/>
      <c r="B68" s="252"/>
      <c r="C68" s="251"/>
      <c r="D68" s="240" t="s">
        <v>240</v>
      </c>
      <c r="E68" s="253"/>
      <c r="F68" s="253"/>
      <c r="G68" s="253"/>
      <c r="H68" s="254"/>
      <c r="J68" s="252"/>
      <c r="K68" s="251"/>
      <c r="L68" s="240" t="s">
        <v>240</v>
      </c>
      <c r="M68" s="253"/>
      <c r="N68" s="253"/>
      <c r="O68" s="253"/>
      <c r="P68" s="254"/>
    </row>
    <row r="69" spans="1:17" x14ac:dyDescent="0.3">
      <c r="A69" s="3"/>
      <c r="B69" s="238"/>
      <c r="C69" s="239"/>
      <c r="D69" s="240" t="s">
        <v>179</v>
      </c>
      <c r="E69" s="240"/>
      <c r="F69" s="240"/>
      <c r="G69" s="240"/>
      <c r="H69" s="241"/>
      <c r="J69" s="238"/>
      <c r="K69" s="239"/>
      <c r="L69" s="240" t="s">
        <v>171</v>
      </c>
      <c r="M69" s="240"/>
      <c r="N69" s="240"/>
      <c r="O69" s="240"/>
      <c r="P69" s="241"/>
    </row>
    <row r="70" spans="1:17" x14ac:dyDescent="0.3">
      <c r="A70" s="3"/>
      <c r="B70" s="62"/>
      <c r="C70" s="65">
        <f>O38</f>
        <v>1.0608731045281026</v>
      </c>
      <c r="D70" s="314">
        <f>E70-2</f>
        <v>58</v>
      </c>
      <c r="E70" s="314">
        <f>F70-2</f>
        <v>60</v>
      </c>
      <c r="F70" s="313">
        <v>62</v>
      </c>
      <c r="G70" s="314">
        <f>F70+2</f>
        <v>64</v>
      </c>
      <c r="H70" s="314">
        <f>G70+2</f>
        <v>66</v>
      </c>
      <c r="J70" s="62"/>
      <c r="K70" s="65">
        <f>O38</f>
        <v>1.0608731045281026</v>
      </c>
      <c r="L70" s="314">
        <f>M70-10</f>
        <v>140</v>
      </c>
      <c r="M70" s="314">
        <f>N70-10</f>
        <v>150</v>
      </c>
      <c r="N70" s="313">
        <v>160</v>
      </c>
      <c r="O70" s="314">
        <f>N70+10</f>
        <v>170</v>
      </c>
      <c r="P70" s="314">
        <f>O70+10</f>
        <v>180</v>
      </c>
    </row>
    <row r="71" spans="1:17" x14ac:dyDescent="0.3">
      <c r="A71" s="3"/>
      <c r="B71" s="72" t="s">
        <v>175</v>
      </c>
      <c r="C71" s="66">
        <f>C72-0.045</f>
        <v>0.82</v>
      </c>
      <c r="D71" s="67">
        <f t="dataTable" ref="D71:H75" dt2D="1" dtr="1" r1="E47" r2="E48" ca="1"/>
        <v>1.3263919415710337</v>
      </c>
      <c r="E71" s="68">
        <v>1.2257821978345742</v>
      </c>
      <c r="F71" s="68">
        <v>1.1251724540981183</v>
      </c>
      <c r="G71" s="68">
        <v>1.0245627103616606</v>
      </c>
      <c r="H71" s="68">
        <v>0.9239529666252011</v>
      </c>
      <c r="J71" s="72" t="s">
        <v>172</v>
      </c>
      <c r="K71" s="66">
        <f>K72-0.0025</f>
        <v>5.6999999999999995E-2</v>
      </c>
      <c r="L71" s="67">
        <f t="dataTable" ref="L71:P75" dt2D="1" dtr="1" r1="E45" r2="E46" ca="1"/>
        <v>1.1145294354255828</v>
      </c>
      <c r="M71" s="68">
        <v>1.2347122949060498</v>
      </c>
      <c r="N71" s="68">
        <v>1.3548951543865169</v>
      </c>
      <c r="O71" s="68">
        <v>1.4750780138669839</v>
      </c>
      <c r="P71" s="68">
        <v>1.5952608733474491</v>
      </c>
    </row>
    <row r="72" spans="1:17" x14ac:dyDescent="0.3">
      <c r="A72" s="3"/>
      <c r="B72" s="72" t="s">
        <v>177</v>
      </c>
      <c r="C72" s="66">
        <f>C73-0.045</f>
        <v>0.86499999999999999</v>
      </c>
      <c r="D72" s="69">
        <v>1.2963303816712486</v>
      </c>
      <c r="E72" s="70">
        <v>1.1946765804921782</v>
      </c>
      <c r="F72" s="70">
        <v>1.0930227793131095</v>
      </c>
      <c r="G72" s="70">
        <v>0.9913689781340409</v>
      </c>
      <c r="H72" s="70">
        <v>0.88971517695497049</v>
      </c>
      <c r="J72" s="72" t="s">
        <v>173</v>
      </c>
      <c r="K72" s="66">
        <f>K73-0.0025</f>
        <v>5.9499999999999997E-2</v>
      </c>
      <c r="L72" s="69">
        <v>0.96751841049637655</v>
      </c>
      <c r="M72" s="70">
        <v>1.0877012699768418</v>
      </c>
      <c r="N72" s="70">
        <v>1.2078841294573088</v>
      </c>
      <c r="O72" s="70">
        <v>1.3280669889377759</v>
      </c>
      <c r="P72" s="70">
        <v>1.4482498484182411</v>
      </c>
    </row>
    <row r="73" spans="1:17" x14ac:dyDescent="0.3">
      <c r="A73" s="3"/>
      <c r="B73" s="72" t="s">
        <v>176</v>
      </c>
      <c r="C73" s="279">
        <v>0.91</v>
      </c>
      <c r="D73" s="69">
        <v>1.2662688217714653</v>
      </c>
      <c r="E73" s="70">
        <v>1.1635709631497839</v>
      </c>
      <c r="F73" s="71">
        <v>1.0608731045281026</v>
      </c>
      <c r="G73" s="70">
        <v>0.95817524590641945</v>
      </c>
      <c r="H73" s="70">
        <v>0.85547738728473988</v>
      </c>
      <c r="J73" s="72" t="s">
        <v>174</v>
      </c>
      <c r="K73" s="279">
        <v>6.2E-2</v>
      </c>
      <c r="L73" s="69">
        <v>0.82050738556716851</v>
      </c>
      <c r="M73" s="70">
        <v>0.94069024504763554</v>
      </c>
      <c r="N73" s="71">
        <v>1.0608731045281026</v>
      </c>
      <c r="O73" s="70">
        <v>1.1810559640085678</v>
      </c>
      <c r="P73" s="70">
        <v>1.3012388234890349</v>
      </c>
    </row>
    <row r="74" spans="1:17" x14ac:dyDescent="0.3">
      <c r="A74" s="3"/>
      <c r="B74" s="63"/>
      <c r="C74" s="66">
        <f>C73+0.045</f>
        <v>0.95500000000000007</v>
      </c>
      <c r="D74" s="69">
        <v>1.2362072618716802</v>
      </c>
      <c r="E74" s="70">
        <v>1.1324653458073861</v>
      </c>
      <c r="F74" s="70">
        <v>1.0287234297430938</v>
      </c>
      <c r="G74" s="70">
        <v>0.92498151367880155</v>
      </c>
      <c r="H74" s="70">
        <v>0.82123959761450749</v>
      </c>
      <c r="J74" s="63"/>
      <c r="K74" s="66">
        <f>K73+0.0025</f>
        <v>6.4500000000000002E-2</v>
      </c>
      <c r="L74" s="69">
        <v>0.67349636063796225</v>
      </c>
      <c r="M74" s="70">
        <v>0.79367922011842751</v>
      </c>
      <c r="N74" s="70">
        <v>0.91386207959889276</v>
      </c>
      <c r="O74" s="70">
        <v>1.0340449390793616</v>
      </c>
      <c r="P74" s="70">
        <v>1.1542277985598286</v>
      </c>
    </row>
    <row r="75" spans="1:17" x14ac:dyDescent="0.3">
      <c r="A75" s="3"/>
      <c r="B75" s="64"/>
      <c r="C75" s="66">
        <f>C74+0.045</f>
        <v>1</v>
      </c>
      <c r="D75" s="69">
        <v>1.2061457019718951</v>
      </c>
      <c r="E75" s="70">
        <v>1.1013597284649901</v>
      </c>
      <c r="F75" s="70">
        <v>0.99657375495808509</v>
      </c>
      <c r="G75" s="70">
        <v>0.89178778145118009</v>
      </c>
      <c r="H75" s="70">
        <v>0.78700180794427688</v>
      </c>
      <c r="J75" s="64"/>
      <c r="K75" s="66">
        <f>K74+0.0025</f>
        <v>6.7000000000000004E-2</v>
      </c>
      <c r="L75" s="69">
        <v>0.52648533570875422</v>
      </c>
      <c r="M75" s="70">
        <v>0.64666819518922125</v>
      </c>
      <c r="N75" s="70">
        <v>0.76685105466968828</v>
      </c>
      <c r="O75" s="70">
        <v>0.88703391415015354</v>
      </c>
      <c r="P75" s="70">
        <v>1.0072167736306188</v>
      </c>
    </row>
    <row r="76" spans="1:17" x14ac:dyDescent="0.3">
      <c r="A76" s="3"/>
      <c r="B76" s="303"/>
      <c r="C76" s="304"/>
      <c r="D76" s="308"/>
      <c r="E76" s="308"/>
      <c r="F76" s="308"/>
      <c r="G76" s="308"/>
      <c r="H76" s="308"/>
      <c r="I76" s="141"/>
      <c r="J76" s="303"/>
      <c r="K76" s="304"/>
      <c r="L76" s="308"/>
      <c r="M76" s="308"/>
      <c r="N76" s="308"/>
      <c r="O76" s="308"/>
      <c r="P76" s="308"/>
      <c r="Q76" s="141"/>
    </row>
  </sheetData>
  <printOptions horizontalCentered="1"/>
  <pageMargins left="0.25" right="0.25" top="0.30555555555555558" bottom="0.30555555555555558" header="0.16666666666666666" footer="0.16666666666666666"/>
  <pageSetup scale="92" fitToHeight="0" orientation="landscape" r:id="rId1"/>
  <rowBreaks count="1" manualBreakCount="1">
    <brk id="41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AE6-ADAC-40A3-BAF1-E3B3244D3FAF}">
  <sheetPr>
    <pageSetUpPr fitToPage="1"/>
  </sheetPr>
  <dimension ref="A2:Q42"/>
  <sheetViews>
    <sheetView workbookViewId="0">
      <selection activeCell="K7" sqref="K7"/>
    </sheetView>
  </sheetViews>
  <sheetFormatPr defaultColWidth="9.109375" defaultRowHeight="14.4" x14ac:dyDescent="0.3"/>
  <cols>
    <col min="1" max="1" width="2" style="1" customWidth="1"/>
    <col min="2" max="4" width="9.109375" style="4"/>
    <col min="5" max="5" width="9.109375" style="4" customWidth="1"/>
    <col min="6" max="6" width="6.6640625" style="4" customWidth="1"/>
    <col min="7" max="7" width="12.5546875" style="4" customWidth="1"/>
    <col min="8" max="8" width="13.33203125" style="4" bestFit="1" customWidth="1"/>
    <col min="9" max="9" width="11" style="4" bestFit="1" customWidth="1"/>
    <col min="10" max="10" width="8.88671875" style="4" bestFit="1" customWidth="1"/>
    <col min="11" max="11" width="13.109375" style="4" customWidth="1"/>
    <col min="12" max="12" width="13.33203125" style="4" bestFit="1" customWidth="1"/>
    <col min="13" max="13" width="11" style="4" bestFit="1" customWidth="1"/>
    <col min="14" max="14" width="8.88671875" style="4" bestFit="1" customWidth="1"/>
    <col min="15" max="15" width="2.6640625" style="4" customWidth="1"/>
    <col min="16" max="16384" width="9.109375" style="4"/>
  </cols>
  <sheetData>
    <row r="2" spans="2:17" ht="22.8" x14ac:dyDescent="0.4">
      <c r="B2" s="298" t="str">
        <f>Cover!B11</f>
        <v xml:space="preserve">Regal Rexnord - Altra 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7" ht="23.4" thickBot="1" x14ac:dyDescent="0.45">
      <c r="B3" s="15" t="s">
        <v>53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7" x14ac:dyDescent="0.3">
      <c r="B4" s="245" t="s">
        <v>72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10"/>
      <c r="Q4" s="10"/>
    </row>
    <row r="5" spans="2:17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2:17" x14ac:dyDescent="0.3">
      <c r="B6" s="10"/>
      <c r="C6" s="10"/>
      <c r="D6" s="10"/>
      <c r="E6" s="10"/>
      <c r="F6" s="10"/>
      <c r="G6" s="46" t="s">
        <v>54</v>
      </c>
      <c r="H6" s="46"/>
      <c r="I6" s="46"/>
      <c r="J6" s="47"/>
      <c r="K6" s="46" t="s">
        <v>55</v>
      </c>
      <c r="L6" s="35"/>
      <c r="M6" s="35"/>
      <c r="N6" s="35"/>
      <c r="P6" s="10"/>
      <c r="Q6" s="10"/>
    </row>
    <row r="7" spans="2:17" x14ac:dyDescent="0.3">
      <c r="B7" s="10"/>
      <c r="C7" s="10"/>
      <c r="D7" s="10"/>
      <c r="E7" s="10"/>
      <c r="F7" s="10"/>
      <c r="G7" s="299" t="str">
        <f>Assumptions!H16</f>
        <v>Altra Industrial Motion Corp</v>
      </c>
      <c r="H7" s="46"/>
      <c r="I7" s="46"/>
      <c r="J7" s="47"/>
      <c r="K7" s="299" t="str">
        <f>Assumptions!H7</f>
        <v>Regal Rexnord Corporation</v>
      </c>
      <c r="L7" s="35"/>
      <c r="M7" s="35"/>
      <c r="N7" s="35"/>
      <c r="P7" s="10"/>
      <c r="Q7" s="10"/>
    </row>
    <row r="8" spans="2:17" x14ac:dyDescent="0.3">
      <c r="B8" s="36" t="s">
        <v>14</v>
      </c>
      <c r="C8" s="10"/>
      <c r="D8" s="10"/>
      <c r="E8" s="10"/>
      <c r="F8" s="10"/>
      <c r="G8" s="10"/>
      <c r="H8" s="10"/>
      <c r="I8" s="10"/>
      <c r="J8" s="283">
        <f>Assumptions!H26</f>
        <v>62</v>
      </c>
      <c r="K8" s="10"/>
      <c r="L8" s="10"/>
      <c r="M8" s="10"/>
      <c r="N8" s="284">
        <f>Assumptions!H11</f>
        <v>149.66</v>
      </c>
      <c r="P8" s="10"/>
      <c r="Q8" s="10"/>
    </row>
    <row r="9" spans="2:17" x14ac:dyDescent="0.3">
      <c r="B9" s="36" t="s">
        <v>56</v>
      </c>
      <c r="C9" s="10"/>
      <c r="D9" s="10"/>
      <c r="E9" s="10"/>
      <c r="F9" s="10"/>
      <c r="G9" s="10"/>
      <c r="H9" s="10"/>
      <c r="I9" s="10"/>
      <c r="J9" s="119">
        <v>65.356999999999999</v>
      </c>
      <c r="K9" s="10"/>
      <c r="L9" s="10"/>
      <c r="M9" s="10"/>
      <c r="N9" s="123">
        <v>66.231071999999998</v>
      </c>
      <c r="P9" s="10"/>
      <c r="Q9" s="10"/>
    </row>
    <row r="10" spans="2:17" x14ac:dyDescent="0.3">
      <c r="B10" s="39" t="s">
        <v>57</v>
      </c>
      <c r="C10" s="10"/>
      <c r="D10" s="10"/>
      <c r="E10" s="10"/>
      <c r="F10" s="10"/>
      <c r="G10" s="10"/>
      <c r="H10" s="10"/>
      <c r="I10" s="10"/>
      <c r="J10" s="120">
        <f>I20</f>
        <v>0.67620000000000002</v>
      </c>
      <c r="K10" s="10"/>
      <c r="L10" s="10"/>
      <c r="M10" s="10"/>
      <c r="N10" s="81">
        <f>M20</f>
        <v>0.80813999999999997</v>
      </c>
      <c r="P10" s="10"/>
      <c r="Q10" s="10"/>
    </row>
    <row r="11" spans="2:17" x14ac:dyDescent="0.3">
      <c r="B11" s="39" t="s">
        <v>58</v>
      </c>
      <c r="C11" s="10"/>
      <c r="D11" s="10"/>
      <c r="E11" s="10"/>
      <c r="F11" s="10"/>
      <c r="G11" s="10"/>
      <c r="H11" s="10"/>
      <c r="I11" s="10"/>
      <c r="J11" s="19">
        <f>-(J20/J8)</f>
        <v>-0.44465603225806455</v>
      </c>
      <c r="K11" s="10"/>
      <c r="L11" s="10"/>
      <c r="M11" s="10"/>
      <c r="N11" s="124">
        <f>-(N20/N8)</f>
        <v>-0.50186109581718563</v>
      </c>
      <c r="P11" s="10"/>
      <c r="Q11" s="10"/>
    </row>
    <row r="12" spans="2:17" x14ac:dyDescent="0.3">
      <c r="B12" s="40" t="s">
        <v>59</v>
      </c>
      <c r="C12" s="10"/>
      <c r="D12" s="10"/>
      <c r="E12" s="10"/>
      <c r="F12" s="10"/>
      <c r="G12" s="10"/>
      <c r="H12" s="10"/>
      <c r="I12" s="10"/>
      <c r="J12" s="121">
        <v>0.56210000000000004</v>
      </c>
      <c r="K12" s="10"/>
      <c r="L12" s="10"/>
      <c r="M12" s="10"/>
      <c r="N12" s="80">
        <v>0.27436500000000003</v>
      </c>
      <c r="P12" s="10"/>
      <c r="Q12" s="10"/>
    </row>
    <row r="13" spans="2:17" x14ac:dyDescent="0.3">
      <c r="B13" s="39" t="s">
        <v>60</v>
      </c>
      <c r="C13" s="10"/>
      <c r="D13" s="10"/>
      <c r="E13" s="10"/>
      <c r="F13" s="10"/>
      <c r="G13" s="10"/>
      <c r="H13" s="10"/>
      <c r="I13" s="10"/>
      <c r="J13" s="121">
        <v>0</v>
      </c>
      <c r="K13" s="10"/>
      <c r="L13" s="10"/>
      <c r="M13" s="10"/>
      <c r="N13" s="80">
        <v>0</v>
      </c>
      <c r="P13" s="10"/>
      <c r="Q13" s="10"/>
    </row>
    <row r="14" spans="2:17" x14ac:dyDescent="0.3">
      <c r="B14" s="39" t="s">
        <v>61</v>
      </c>
      <c r="C14" s="10"/>
      <c r="D14" s="10"/>
      <c r="E14" s="10"/>
      <c r="F14" s="10"/>
      <c r="G14" s="44"/>
      <c r="H14" s="44"/>
      <c r="I14" s="44"/>
      <c r="J14" s="281">
        <v>0</v>
      </c>
      <c r="K14" s="44"/>
      <c r="L14" s="44"/>
      <c r="M14" s="44"/>
      <c r="N14" s="80">
        <v>0</v>
      </c>
      <c r="P14" s="10"/>
      <c r="Q14" s="10"/>
    </row>
    <row r="15" spans="2:17" x14ac:dyDescent="0.3">
      <c r="B15" s="41" t="s">
        <v>62</v>
      </c>
      <c r="C15" s="10"/>
      <c r="D15" s="10"/>
      <c r="E15" s="10"/>
      <c r="F15" s="10"/>
      <c r="G15" s="10"/>
      <c r="H15" s="10"/>
      <c r="I15" s="10"/>
      <c r="J15" s="122">
        <f>SUM(J9:J14)</f>
        <v>66.150643967741928</v>
      </c>
      <c r="K15" s="10"/>
      <c r="L15" s="10"/>
      <c r="M15" s="10"/>
      <c r="N15" s="125">
        <f>SUM(N9:N14)</f>
        <v>66.811715904182805</v>
      </c>
      <c r="P15" s="10"/>
      <c r="Q15" s="10"/>
    </row>
    <row r="16" spans="2:17" x14ac:dyDescent="0.3">
      <c r="B16" s="10"/>
      <c r="C16" s="10"/>
      <c r="D16" s="10"/>
      <c r="E16" s="10"/>
      <c r="F16" s="10"/>
      <c r="G16" s="10"/>
      <c r="H16" s="10"/>
      <c r="I16" s="10"/>
      <c r="J16" s="38"/>
      <c r="K16" s="10"/>
      <c r="L16" s="10"/>
      <c r="M16" s="10"/>
      <c r="N16" s="10"/>
      <c r="P16" s="10"/>
      <c r="Q16" s="10"/>
    </row>
    <row r="17" spans="1:17" x14ac:dyDescent="0.3">
      <c r="B17" s="42" t="s">
        <v>63</v>
      </c>
      <c r="C17" s="10"/>
      <c r="D17" s="10"/>
      <c r="E17" s="10"/>
      <c r="F17" s="10"/>
      <c r="G17" s="48" t="s">
        <v>69</v>
      </c>
      <c r="H17" s="50" t="s">
        <v>70</v>
      </c>
      <c r="I17" s="48" t="s">
        <v>64</v>
      </c>
      <c r="J17" s="49" t="s">
        <v>65</v>
      </c>
      <c r="K17" s="48" t="s">
        <v>71</v>
      </c>
      <c r="L17" s="48" t="s">
        <v>70</v>
      </c>
      <c r="M17" s="48" t="s">
        <v>64</v>
      </c>
      <c r="N17" s="48" t="s">
        <v>65</v>
      </c>
      <c r="P17" s="43"/>
      <c r="Q17" s="10"/>
    </row>
    <row r="18" spans="1:17" x14ac:dyDescent="0.3">
      <c r="B18" s="36" t="s">
        <v>66</v>
      </c>
      <c r="C18" s="10"/>
      <c r="D18" s="10"/>
      <c r="E18" s="10"/>
      <c r="F18" s="10"/>
      <c r="G18" s="80">
        <v>0.67620000000000002</v>
      </c>
      <c r="H18" s="282">
        <v>40.770000000000003</v>
      </c>
      <c r="I18" s="81">
        <f>IF(H18&lt;J8,G18,0)</f>
        <v>0.67620000000000002</v>
      </c>
      <c r="J18" s="120">
        <f>I18*H18</f>
        <v>27.568674000000001</v>
      </c>
      <c r="K18" s="80">
        <v>0.80813999999999997</v>
      </c>
      <c r="L18" s="282">
        <v>92.94</v>
      </c>
      <c r="M18" s="81">
        <f>IF(L18&lt;N8,K18,0)</f>
        <v>0.80813999999999997</v>
      </c>
      <c r="N18" s="81">
        <f>M18*L18</f>
        <v>75.108531599999992</v>
      </c>
      <c r="P18" s="10"/>
      <c r="Q18" s="10"/>
    </row>
    <row r="19" spans="1:17" x14ac:dyDescent="0.3">
      <c r="B19" s="36" t="s">
        <v>67</v>
      </c>
      <c r="C19" s="10"/>
      <c r="D19" s="10"/>
      <c r="E19" s="10"/>
      <c r="F19" s="10"/>
      <c r="G19" s="44"/>
      <c r="H19" s="44"/>
      <c r="I19" s="44"/>
      <c r="J19" s="45"/>
      <c r="K19" s="44"/>
      <c r="L19" s="44"/>
      <c r="M19" s="44"/>
      <c r="N19" s="44"/>
      <c r="P19" s="10"/>
      <c r="Q19" s="10"/>
    </row>
    <row r="20" spans="1:17" x14ac:dyDescent="0.3">
      <c r="B20" s="41" t="s">
        <v>68</v>
      </c>
      <c r="I20" s="112">
        <f>SUM(I18:I19)</f>
        <v>0.67620000000000002</v>
      </c>
      <c r="J20" s="242">
        <f>SUM(J18:J19)</f>
        <v>27.568674000000001</v>
      </c>
      <c r="M20" s="112">
        <f>SUM(M18:M19)</f>
        <v>0.80813999999999997</v>
      </c>
      <c r="N20" s="112">
        <f>SUM(N18:N19)</f>
        <v>75.108531599999992</v>
      </c>
    </row>
    <row r="21" spans="1:17" x14ac:dyDescent="0.3"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</row>
    <row r="22" spans="1:17" x14ac:dyDescent="0.3">
      <c r="A22" s="3"/>
    </row>
    <row r="42" spans="1:1" ht="15" thickBot="1" x14ac:dyDescent="0.35">
      <c r="A42" s="144"/>
    </row>
  </sheetData>
  <printOptions horizontalCentered="1"/>
  <pageMargins left="0.25" right="0.25" top="0.30555555555555558" bottom="0.30555555555555558" header="0.16666666666666666" footer="0.16666666666666666"/>
  <pageSetup scale="95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81C-4E7C-4952-A96F-6CB6D3F71943}">
  <sheetPr>
    <pageSetUpPr fitToPage="1"/>
  </sheetPr>
  <dimension ref="A1:L80"/>
  <sheetViews>
    <sheetView showGridLines="0" topLeftCell="A3" workbookViewId="0">
      <selection activeCell="C24" sqref="C24"/>
    </sheetView>
  </sheetViews>
  <sheetFormatPr defaultRowHeight="14.4" x14ac:dyDescent="0.3"/>
  <cols>
    <col min="1" max="1" width="2.5546875" style="4" customWidth="1"/>
    <col min="2" max="2" width="4.109375" style="4" customWidth="1"/>
    <col min="3" max="3" width="122.21875" style="4" customWidth="1"/>
    <col min="4" max="12" width="1.44140625" style="4" customWidth="1"/>
    <col min="13" max="16384" width="8.88671875" style="4"/>
  </cols>
  <sheetData>
    <row r="1" spans="1:12" x14ac:dyDescent="0.3">
      <c r="A1" s="316"/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</row>
    <row r="2" spans="1:12" ht="22.8" x14ac:dyDescent="0.4">
      <c r="A2" s="316"/>
      <c r="B2" s="317" t="s">
        <v>246</v>
      </c>
      <c r="C2" s="318"/>
      <c r="D2" s="322"/>
      <c r="E2" s="322"/>
      <c r="F2" s="322"/>
      <c r="G2" s="322"/>
      <c r="H2" s="322"/>
      <c r="I2" s="316"/>
      <c r="J2" s="316"/>
      <c r="K2" s="316"/>
      <c r="L2" s="316"/>
    </row>
    <row r="3" spans="1:12" ht="17.399999999999999" x14ac:dyDescent="0.3">
      <c r="A3" s="316"/>
      <c r="B3" s="319" t="s">
        <v>247</v>
      </c>
      <c r="C3" s="318"/>
      <c r="D3" s="322"/>
      <c r="E3" s="322"/>
      <c r="F3" s="322"/>
      <c r="G3" s="322"/>
      <c r="H3" s="322"/>
      <c r="I3" s="316"/>
      <c r="J3" s="316"/>
      <c r="K3" s="316"/>
      <c r="L3" s="316"/>
    </row>
    <row r="4" spans="1:12" ht="22.8" x14ac:dyDescent="0.3">
      <c r="A4" s="316"/>
      <c r="B4" s="323"/>
      <c r="C4" s="323" t="s">
        <v>248</v>
      </c>
      <c r="D4" s="323"/>
      <c r="E4" s="323"/>
      <c r="F4" s="323"/>
      <c r="G4" s="323"/>
      <c r="H4" s="323"/>
      <c r="I4" s="316"/>
      <c r="J4" s="316"/>
      <c r="K4" s="316"/>
      <c r="L4" s="316"/>
    </row>
    <row r="5" spans="1:12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</row>
    <row r="6" spans="1:12" x14ac:dyDescent="0.3">
      <c r="A6" s="316"/>
      <c r="B6" s="320" t="s">
        <v>249</v>
      </c>
      <c r="C6" s="316"/>
      <c r="D6" s="316"/>
      <c r="E6" s="316"/>
      <c r="F6" s="316"/>
      <c r="G6" s="316"/>
      <c r="H6" s="316"/>
      <c r="I6" s="316"/>
      <c r="J6" s="316"/>
      <c r="K6" s="316"/>
      <c r="L6" s="316"/>
    </row>
    <row r="7" spans="1:12" x14ac:dyDescent="0.3">
      <c r="A7" s="316"/>
      <c r="B7" s="316"/>
      <c r="C7" s="316"/>
      <c r="D7" s="316"/>
      <c r="E7" s="316"/>
      <c r="F7" s="316"/>
      <c r="G7" s="316"/>
      <c r="H7" s="316"/>
      <c r="I7" s="316"/>
      <c r="J7" s="316"/>
      <c r="K7" s="316"/>
      <c r="L7" s="316"/>
    </row>
    <row r="8" spans="1:12" x14ac:dyDescent="0.3">
      <c r="A8" s="316"/>
      <c r="B8" s="321" t="s">
        <v>250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</row>
    <row r="9" spans="1:12" ht="27.6" x14ac:dyDescent="0.3">
      <c r="A9" s="316"/>
      <c r="B9" s="316"/>
      <c r="C9" s="324" t="s">
        <v>282</v>
      </c>
      <c r="D9" s="324"/>
      <c r="E9" s="324"/>
      <c r="F9" s="324"/>
      <c r="G9" s="324"/>
      <c r="H9" s="324"/>
      <c r="I9" s="316"/>
      <c r="J9" s="316"/>
      <c r="K9" s="316"/>
      <c r="L9" s="316"/>
    </row>
    <row r="10" spans="1:12" x14ac:dyDescent="0.3">
      <c r="A10" s="316"/>
      <c r="B10" s="316"/>
      <c r="C10" s="324" t="s">
        <v>251</v>
      </c>
      <c r="D10" s="324"/>
      <c r="E10" s="324"/>
      <c r="F10" s="324"/>
      <c r="G10" s="324"/>
      <c r="H10" s="324"/>
      <c r="I10" s="316"/>
      <c r="J10" s="316"/>
      <c r="K10" s="316"/>
      <c r="L10" s="316"/>
    </row>
    <row r="11" spans="1:12" x14ac:dyDescent="0.3">
      <c r="A11" s="316"/>
      <c r="B11" s="316"/>
      <c r="C11" s="324" t="s">
        <v>252</v>
      </c>
      <c r="D11" s="324"/>
      <c r="E11" s="324"/>
      <c r="F11" s="324"/>
      <c r="G11" s="324"/>
      <c r="H11" s="324"/>
      <c r="I11" s="316"/>
      <c r="J11" s="316"/>
      <c r="K11" s="316"/>
      <c r="L11" s="316"/>
    </row>
    <row r="12" spans="1:12" x14ac:dyDescent="0.3">
      <c r="A12" s="316"/>
      <c r="B12" s="316"/>
      <c r="C12" s="324" t="s">
        <v>253</v>
      </c>
      <c r="D12" s="324"/>
      <c r="E12" s="324"/>
      <c r="F12" s="324"/>
      <c r="G12" s="324"/>
      <c r="H12" s="324"/>
      <c r="I12" s="316"/>
      <c r="J12" s="316"/>
      <c r="K12" s="316"/>
      <c r="L12" s="316"/>
    </row>
    <row r="13" spans="1:12" ht="27.6" x14ac:dyDescent="0.3">
      <c r="A13" s="316"/>
      <c r="B13" s="316"/>
      <c r="C13" s="324" t="s">
        <v>254</v>
      </c>
      <c r="D13" s="324"/>
      <c r="E13" s="324"/>
      <c r="F13" s="324"/>
      <c r="G13" s="324"/>
      <c r="H13" s="324"/>
      <c r="I13" s="316"/>
      <c r="J13" s="316"/>
      <c r="K13" s="316"/>
      <c r="L13" s="316"/>
    </row>
    <row r="14" spans="1:12" x14ac:dyDescent="0.3">
      <c r="A14" s="316"/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</row>
    <row r="15" spans="1:12" x14ac:dyDescent="0.3">
      <c r="A15" s="316"/>
      <c r="B15" s="321" t="s">
        <v>255</v>
      </c>
      <c r="C15" s="316"/>
      <c r="D15" s="316"/>
      <c r="E15" s="316"/>
      <c r="F15" s="316"/>
      <c r="G15" s="316"/>
      <c r="H15" s="316"/>
      <c r="I15" s="316"/>
      <c r="J15" s="316"/>
      <c r="K15" s="316"/>
      <c r="L15" s="316"/>
    </row>
    <row r="16" spans="1:12" x14ac:dyDescent="0.3">
      <c r="A16" s="316"/>
      <c r="B16" s="316"/>
      <c r="C16" s="324" t="s">
        <v>256</v>
      </c>
      <c r="D16" s="324"/>
      <c r="E16" s="324"/>
      <c r="F16" s="324"/>
      <c r="G16" s="324"/>
      <c r="H16" s="324"/>
      <c r="I16" s="316"/>
      <c r="J16" s="316"/>
      <c r="K16" s="316"/>
      <c r="L16" s="316"/>
    </row>
    <row r="17" spans="1:12" x14ac:dyDescent="0.3">
      <c r="A17" s="316"/>
      <c r="B17" s="316"/>
      <c r="C17" s="316"/>
      <c r="D17" s="316"/>
      <c r="E17" s="316"/>
      <c r="F17" s="316"/>
      <c r="G17" s="316"/>
      <c r="H17" s="316"/>
      <c r="I17" s="316"/>
      <c r="J17" s="316"/>
      <c r="K17" s="316"/>
      <c r="L17" s="316"/>
    </row>
    <row r="18" spans="1:12" x14ac:dyDescent="0.3">
      <c r="A18" s="316"/>
      <c r="B18" s="320" t="s">
        <v>257</v>
      </c>
      <c r="C18" s="316"/>
      <c r="D18" s="316"/>
      <c r="E18" s="316"/>
      <c r="F18" s="316"/>
      <c r="G18" s="316"/>
      <c r="H18" s="316"/>
      <c r="I18" s="316"/>
      <c r="J18" s="316"/>
      <c r="K18" s="316"/>
      <c r="L18" s="316"/>
    </row>
    <row r="19" spans="1:12" x14ac:dyDescent="0.3">
      <c r="A19" s="316"/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</row>
    <row r="20" spans="1:12" x14ac:dyDescent="0.3">
      <c r="A20" s="316"/>
      <c r="B20" s="321" t="s">
        <v>258</v>
      </c>
      <c r="C20" s="316"/>
      <c r="D20" s="316"/>
      <c r="E20" s="316"/>
      <c r="F20" s="316"/>
      <c r="G20" s="316"/>
      <c r="H20" s="316"/>
      <c r="I20" s="316"/>
      <c r="J20" s="316"/>
      <c r="K20" s="316"/>
      <c r="L20" s="316"/>
    </row>
    <row r="21" spans="1:12" ht="82.8" x14ac:dyDescent="0.3">
      <c r="A21" s="316"/>
      <c r="B21" s="325" t="s">
        <v>284</v>
      </c>
      <c r="C21" s="324" t="s">
        <v>283</v>
      </c>
      <c r="D21" s="324"/>
      <c r="E21" s="324"/>
      <c r="F21" s="324"/>
      <c r="G21" s="324"/>
      <c r="H21" s="324"/>
      <c r="I21" s="316"/>
      <c r="J21" s="316"/>
      <c r="K21" s="316"/>
      <c r="L21" s="316"/>
    </row>
    <row r="22" spans="1:12" x14ac:dyDescent="0.3">
      <c r="A22" s="316"/>
      <c r="B22" s="316"/>
      <c r="C22" s="324" t="s">
        <v>259</v>
      </c>
      <c r="D22" s="324"/>
      <c r="E22" s="324"/>
      <c r="F22" s="324"/>
      <c r="G22" s="324"/>
      <c r="H22" s="324"/>
      <c r="I22" s="316"/>
      <c r="J22" s="316"/>
      <c r="K22" s="316"/>
      <c r="L22" s="316"/>
    </row>
    <row r="23" spans="1:12" x14ac:dyDescent="0.3">
      <c r="A23" s="316"/>
      <c r="B23" s="316"/>
      <c r="C23" s="324" t="s">
        <v>260</v>
      </c>
      <c r="D23" s="324"/>
      <c r="E23" s="324"/>
      <c r="F23" s="324"/>
      <c r="G23" s="324"/>
      <c r="H23" s="324"/>
      <c r="I23" s="316"/>
      <c r="J23" s="316"/>
      <c r="K23" s="316"/>
      <c r="L23" s="316"/>
    </row>
    <row r="24" spans="1:12" ht="27.6" x14ac:dyDescent="0.3">
      <c r="A24" s="316"/>
      <c r="B24" s="316"/>
      <c r="C24" s="324" t="s">
        <v>261</v>
      </c>
      <c r="D24" s="324"/>
      <c r="E24" s="324"/>
      <c r="F24" s="324"/>
      <c r="G24" s="324"/>
      <c r="H24" s="324"/>
      <c r="I24" s="316"/>
      <c r="J24" s="316"/>
      <c r="K24" s="316"/>
      <c r="L24" s="316"/>
    </row>
    <row r="25" spans="1:12" x14ac:dyDescent="0.3">
      <c r="A25" s="316"/>
      <c r="B25" s="316"/>
      <c r="C25" s="316"/>
      <c r="D25" s="316"/>
      <c r="E25" s="316"/>
      <c r="F25" s="316"/>
      <c r="G25" s="316"/>
      <c r="H25" s="316"/>
      <c r="I25" s="316"/>
      <c r="J25" s="316"/>
      <c r="K25" s="316"/>
      <c r="L25" s="316"/>
    </row>
    <row r="26" spans="1:12" x14ac:dyDescent="0.3">
      <c r="A26" s="316"/>
      <c r="B26" s="321" t="s">
        <v>262</v>
      </c>
      <c r="C26" s="316"/>
      <c r="D26" s="316"/>
      <c r="E26" s="316"/>
      <c r="F26" s="316"/>
      <c r="G26" s="316"/>
      <c r="H26" s="316"/>
      <c r="I26" s="316"/>
      <c r="J26" s="316"/>
      <c r="K26" s="316"/>
      <c r="L26" s="316"/>
    </row>
    <row r="27" spans="1:12" ht="27.6" x14ac:dyDescent="0.3">
      <c r="A27" s="316"/>
      <c r="B27" s="316"/>
      <c r="C27" s="324" t="s">
        <v>263</v>
      </c>
      <c r="D27" s="324"/>
      <c r="E27" s="324"/>
      <c r="F27" s="324"/>
      <c r="G27" s="324"/>
      <c r="H27" s="324"/>
      <c r="I27" s="316"/>
      <c r="J27" s="316"/>
      <c r="K27" s="316"/>
      <c r="L27" s="316"/>
    </row>
    <row r="28" spans="1:12" x14ac:dyDescent="0.3">
      <c r="A28" s="316"/>
      <c r="B28" s="316"/>
      <c r="C28" s="316"/>
      <c r="D28" s="316"/>
      <c r="E28" s="316"/>
      <c r="F28" s="316"/>
      <c r="G28" s="316"/>
      <c r="H28" s="316"/>
      <c r="I28" s="316"/>
      <c r="J28" s="316"/>
      <c r="K28" s="316"/>
      <c r="L28" s="316"/>
    </row>
    <row r="29" spans="1:12" x14ac:dyDescent="0.3">
      <c r="A29" s="316"/>
      <c r="B29" s="320" t="s">
        <v>264</v>
      </c>
      <c r="C29" s="316"/>
      <c r="D29" s="316"/>
      <c r="E29" s="316"/>
      <c r="F29" s="316"/>
      <c r="G29" s="316"/>
      <c r="H29" s="316"/>
      <c r="I29" s="316"/>
      <c r="J29" s="316"/>
      <c r="K29" s="316"/>
      <c r="L29" s="316"/>
    </row>
    <row r="30" spans="1:12" x14ac:dyDescent="0.3">
      <c r="A30" s="316"/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</row>
    <row r="31" spans="1:12" x14ac:dyDescent="0.3">
      <c r="A31" s="316"/>
      <c r="B31" s="321" t="s">
        <v>265</v>
      </c>
      <c r="C31" s="316"/>
      <c r="D31" s="316"/>
      <c r="E31" s="316"/>
      <c r="F31" s="316"/>
      <c r="G31" s="316"/>
      <c r="H31" s="316"/>
      <c r="I31" s="316"/>
      <c r="J31" s="316"/>
      <c r="K31" s="316"/>
      <c r="L31" s="316"/>
    </row>
    <row r="32" spans="1:12" ht="27.6" x14ac:dyDescent="0.3">
      <c r="A32" s="316"/>
      <c r="B32" s="316"/>
      <c r="C32" s="324" t="s">
        <v>266</v>
      </c>
      <c r="D32" s="324"/>
      <c r="E32" s="324"/>
      <c r="F32" s="324"/>
      <c r="G32" s="324"/>
      <c r="H32" s="324"/>
      <c r="I32" s="316"/>
      <c r="J32" s="316"/>
      <c r="K32" s="316"/>
      <c r="L32" s="316"/>
    </row>
    <row r="33" spans="1:12" x14ac:dyDescent="0.3">
      <c r="A33" s="316"/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</row>
    <row r="34" spans="1:12" x14ac:dyDescent="0.3">
      <c r="A34" s="316"/>
      <c r="B34" s="321" t="s">
        <v>267</v>
      </c>
      <c r="C34" s="316"/>
      <c r="D34" s="316"/>
      <c r="E34" s="316"/>
      <c r="F34" s="316"/>
      <c r="G34" s="316"/>
      <c r="H34" s="316"/>
      <c r="I34" s="316"/>
      <c r="J34" s="316"/>
      <c r="K34" s="316"/>
      <c r="L34" s="316"/>
    </row>
    <row r="35" spans="1:12" x14ac:dyDescent="0.3">
      <c r="A35" s="316"/>
      <c r="B35" s="316"/>
      <c r="C35" s="324" t="s">
        <v>268</v>
      </c>
      <c r="D35" s="324"/>
      <c r="E35" s="324"/>
      <c r="F35" s="324"/>
      <c r="G35" s="324"/>
      <c r="H35" s="324"/>
      <c r="I35" s="316"/>
      <c r="J35" s="316"/>
      <c r="K35" s="316"/>
      <c r="L35" s="316"/>
    </row>
    <row r="36" spans="1:12" x14ac:dyDescent="0.3">
      <c r="A36" s="316"/>
      <c r="B36" s="316"/>
      <c r="C36" s="324" t="s">
        <v>269</v>
      </c>
      <c r="D36" s="324"/>
      <c r="E36" s="324"/>
      <c r="F36" s="324"/>
      <c r="G36" s="324"/>
      <c r="H36" s="324"/>
      <c r="I36" s="316"/>
      <c r="J36" s="316"/>
      <c r="K36" s="316"/>
      <c r="L36" s="316"/>
    </row>
    <row r="37" spans="1:12" x14ac:dyDescent="0.3">
      <c r="A37" s="316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</row>
    <row r="38" spans="1:12" x14ac:dyDescent="0.3">
      <c r="A38" s="316"/>
      <c r="B38" s="320" t="s">
        <v>270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</row>
    <row r="39" spans="1:12" x14ac:dyDescent="0.3">
      <c r="A39" s="316"/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</row>
    <row r="40" spans="1:12" x14ac:dyDescent="0.3">
      <c r="A40" s="316"/>
      <c r="B40" s="321" t="s">
        <v>271</v>
      </c>
      <c r="C40" s="316"/>
      <c r="D40" s="316"/>
      <c r="E40" s="316"/>
      <c r="F40" s="316"/>
      <c r="G40" s="316"/>
      <c r="H40" s="316"/>
      <c r="I40" s="316"/>
      <c r="J40" s="316"/>
      <c r="K40" s="316"/>
      <c r="L40" s="316"/>
    </row>
    <row r="41" spans="1:12" x14ac:dyDescent="0.3">
      <c r="A41" s="316"/>
      <c r="B41" s="316"/>
      <c r="C41" s="324" t="s">
        <v>272</v>
      </c>
      <c r="D41" s="324"/>
      <c r="E41" s="324"/>
      <c r="F41" s="324"/>
      <c r="G41" s="324"/>
      <c r="H41" s="324"/>
      <c r="I41" s="316"/>
      <c r="J41" s="316"/>
      <c r="K41" s="316"/>
      <c r="L41" s="316"/>
    </row>
    <row r="42" spans="1:12" ht="27.6" x14ac:dyDescent="0.3">
      <c r="A42" s="316"/>
      <c r="B42" s="316"/>
      <c r="C42" s="324" t="s">
        <v>273</v>
      </c>
      <c r="D42" s="324"/>
      <c r="E42" s="324"/>
      <c r="F42" s="324"/>
      <c r="G42" s="324"/>
      <c r="H42" s="324"/>
      <c r="I42" s="316"/>
      <c r="J42" s="316"/>
      <c r="K42" s="316"/>
      <c r="L42" s="316"/>
    </row>
    <row r="43" spans="1:12" x14ac:dyDescent="0.3">
      <c r="A43" s="316"/>
      <c r="B43" s="316"/>
      <c r="C43" s="324" t="s">
        <v>274</v>
      </c>
      <c r="D43" s="324"/>
      <c r="E43" s="324"/>
      <c r="F43" s="324"/>
      <c r="G43" s="324"/>
      <c r="H43" s="324"/>
      <c r="I43" s="316"/>
      <c r="J43" s="316"/>
      <c r="K43" s="316"/>
      <c r="L43" s="316"/>
    </row>
    <row r="44" spans="1:12" x14ac:dyDescent="0.3">
      <c r="A44" s="316"/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</row>
    <row r="45" spans="1:12" x14ac:dyDescent="0.3">
      <c r="A45" s="316"/>
      <c r="B45" s="321" t="s">
        <v>275</v>
      </c>
      <c r="C45" s="316"/>
      <c r="D45" s="316"/>
      <c r="E45" s="316"/>
      <c r="F45" s="316"/>
      <c r="G45" s="316"/>
      <c r="H45" s="316"/>
      <c r="I45" s="316"/>
      <c r="J45" s="316"/>
      <c r="K45" s="316"/>
      <c r="L45" s="316"/>
    </row>
    <row r="46" spans="1:12" x14ac:dyDescent="0.3">
      <c r="A46" s="316"/>
      <c r="B46" s="316"/>
      <c r="C46" s="324" t="s">
        <v>276</v>
      </c>
      <c r="D46" s="324"/>
      <c r="E46" s="324"/>
      <c r="F46" s="324"/>
      <c r="G46" s="324"/>
      <c r="H46" s="324"/>
      <c r="I46" s="316"/>
      <c r="J46" s="316"/>
      <c r="K46" s="316"/>
      <c r="L46" s="316"/>
    </row>
    <row r="47" spans="1:12" x14ac:dyDescent="0.3">
      <c r="A47" s="316"/>
      <c r="B47" s="316"/>
      <c r="C47" s="324" t="s">
        <v>277</v>
      </c>
      <c r="D47" s="324"/>
      <c r="E47" s="324"/>
      <c r="F47" s="324"/>
      <c r="G47" s="324"/>
      <c r="H47" s="324"/>
      <c r="I47" s="316"/>
      <c r="J47" s="316"/>
      <c r="K47" s="316"/>
      <c r="L47" s="316"/>
    </row>
    <row r="48" spans="1:12" ht="27.6" x14ac:dyDescent="0.3">
      <c r="A48" s="316"/>
      <c r="B48" s="316"/>
      <c r="C48" s="324" t="s">
        <v>278</v>
      </c>
      <c r="D48" s="324"/>
      <c r="E48" s="324"/>
      <c r="F48" s="324"/>
      <c r="G48" s="324"/>
      <c r="H48" s="324"/>
      <c r="I48" s="316"/>
      <c r="J48" s="316"/>
      <c r="K48" s="316"/>
      <c r="L48" s="316"/>
    </row>
    <row r="49" spans="1:12" x14ac:dyDescent="0.3">
      <c r="A49" s="316"/>
      <c r="B49" s="316"/>
      <c r="C49" s="316"/>
      <c r="D49" s="316"/>
      <c r="E49" s="316"/>
      <c r="F49" s="316"/>
      <c r="G49" s="316"/>
      <c r="H49" s="316"/>
      <c r="I49" s="316"/>
      <c r="J49" s="316"/>
      <c r="K49" s="316"/>
      <c r="L49" s="316"/>
    </row>
    <row r="50" spans="1:12" ht="22.8" x14ac:dyDescent="0.3">
      <c r="A50" s="316"/>
      <c r="B50" s="323"/>
      <c r="C50" s="323" t="s">
        <v>288</v>
      </c>
      <c r="D50" s="323"/>
      <c r="E50" s="323"/>
      <c r="F50" s="323"/>
      <c r="G50" s="323"/>
      <c r="H50" s="323"/>
      <c r="I50" s="316"/>
      <c r="J50" s="316"/>
      <c r="K50" s="316"/>
      <c r="L50" s="316"/>
    </row>
    <row r="51" spans="1:12" x14ac:dyDescent="0.3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</row>
    <row r="52" spans="1:12" x14ac:dyDescent="0.3">
      <c r="A52" s="316"/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</row>
    <row r="53" spans="1:12" x14ac:dyDescent="0.3">
      <c r="A53" s="316"/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</row>
    <row r="54" spans="1:12" x14ac:dyDescent="0.3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</row>
    <row r="55" spans="1:12" x14ac:dyDescent="0.3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</row>
    <row r="56" spans="1:12" x14ac:dyDescent="0.3">
      <c r="A56" s="316"/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</row>
    <row r="57" spans="1:12" x14ac:dyDescent="0.3">
      <c r="A57" s="316"/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</row>
    <row r="58" spans="1:12" x14ac:dyDescent="0.3">
      <c r="A58" s="316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</row>
    <row r="59" spans="1:12" x14ac:dyDescent="0.3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</row>
    <row r="60" spans="1:12" x14ac:dyDescent="0.3">
      <c r="A60" s="316"/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</row>
    <row r="61" spans="1:12" x14ac:dyDescent="0.3">
      <c r="A61" s="316"/>
      <c r="B61" s="316"/>
      <c r="C61" s="316"/>
      <c r="D61" s="316"/>
      <c r="E61" s="316"/>
      <c r="F61" s="316"/>
      <c r="G61" s="316"/>
      <c r="H61" s="316"/>
      <c r="I61" s="316"/>
      <c r="J61" s="316"/>
      <c r="K61" s="316"/>
      <c r="L61" s="316"/>
    </row>
    <row r="62" spans="1:12" x14ac:dyDescent="0.3">
      <c r="A62" s="316"/>
      <c r="B62" s="316"/>
      <c r="C62" s="316"/>
      <c r="D62" s="316"/>
      <c r="E62" s="316"/>
      <c r="F62" s="316"/>
      <c r="G62" s="316"/>
      <c r="H62" s="316"/>
      <c r="I62" s="316"/>
      <c r="J62" s="316"/>
      <c r="K62" s="316"/>
      <c r="L62" s="316"/>
    </row>
    <row r="63" spans="1:12" x14ac:dyDescent="0.3">
      <c r="A63" s="316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</row>
    <row r="64" spans="1:12" x14ac:dyDescent="0.3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</row>
    <row r="65" spans="1:12" x14ac:dyDescent="0.3">
      <c r="A65" s="316"/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</row>
    <row r="66" spans="1:12" x14ac:dyDescent="0.3">
      <c r="A66" s="316"/>
      <c r="B66" s="316"/>
      <c r="C66" s="316"/>
      <c r="D66" s="316"/>
      <c r="E66" s="316"/>
      <c r="F66" s="316"/>
      <c r="G66" s="316"/>
      <c r="H66" s="316"/>
      <c r="I66" s="316"/>
      <c r="J66" s="316"/>
      <c r="K66" s="316"/>
      <c r="L66" s="316"/>
    </row>
    <row r="67" spans="1:12" x14ac:dyDescent="0.3">
      <c r="A67" s="316"/>
      <c r="B67" s="316"/>
      <c r="C67" s="316"/>
      <c r="D67" s="316"/>
      <c r="E67" s="316"/>
      <c r="F67" s="316"/>
      <c r="G67" s="316"/>
      <c r="H67" s="316"/>
      <c r="I67" s="316"/>
      <c r="J67" s="316"/>
      <c r="K67" s="316"/>
      <c r="L67" s="316"/>
    </row>
    <row r="68" spans="1:12" x14ac:dyDescent="0.3">
      <c r="A68" s="316"/>
      <c r="B68" s="316"/>
      <c r="C68" s="316"/>
      <c r="D68" s="316"/>
      <c r="E68" s="316"/>
      <c r="F68" s="316"/>
      <c r="G68" s="316"/>
      <c r="H68" s="316"/>
      <c r="I68" s="316"/>
      <c r="J68" s="316"/>
      <c r="K68" s="316"/>
      <c r="L68" s="316"/>
    </row>
    <row r="69" spans="1:12" x14ac:dyDescent="0.3">
      <c r="A69" s="316"/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</row>
    <row r="70" spans="1:12" x14ac:dyDescent="0.3">
      <c r="A70" s="316"/>
      <c r="B70" s="316"/>
      <c r="C70" s="316"/>
      <c r="D70" s="316"/>
      <c r="E70" s="316"/>
      <c r="F70" s="316"/>
      <c r="G70" s="316"/>
      <c r="H70" s="316"/>
      <c r="I70" s="316"/>
      <c r="J70" s="316"/>
      <c r="K70" s="316"/>
      <c r="L70" s="316"/>
    </row>
    <row r="71" spans="1:12" x14ac:dyDescent="0.3">
      <c r="A71" s="316"/>
      <c r="B71" s="316"/>
      <c r="C71" s="316"/>
      <c r="D71" s="316"/>
      <c r="E71" s="316"/>
      <c r="F71" s="316"/>
      <c r="G71" s="316"/>
      <c r="H71" s="316"/>
      <c r="I71" s="316"/>
      <c r="J71" s="316"/>
      <c r="K71" s="316"/>
      <c r="L71" s="316"/>
    </row>
    <row r="72" spans="1:12" x14ac:dyDescent="0.3">
      <c r="A72" s="316"/>
      <c r="B72" s="316"/>
      <c r="C72" s="316"/>
      <c r="D72" s="316"/>
      <c r="E72" s="316"/>
      <c r="F72" s="316"/>
      <c r="G72" s="316"/>
      <c r="H72" s="316"/>
      <c r="I72" s="316"/>
      <c r="J72" s="316"/>
      <c r="K72" s="316"/>
      <c r="L72" s="316"/>
    </row>
    <row r="73" spans="1:12" x14ac:dyDescent="0.3">
      <c r="A73" s="316"/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</row>
    <row r="74" spans="1:12" x14ac:dyDescent="0.3">
      <c r="A74" s="316"/>
      <c r="B74" s="316"/>
      <c r="C74" s="316"/>
      <c r="D74" s="316"/>
      <c r="E74" s="316"/>
      <c r="F74" s="316"/>
      <c r="G74" s="316"/>
      <c r="H74" s="316"/>
      <c r="I74" s="316"/>
      <c r="J74" s="316"/>
      <c r="K74" s="316"/>
      <c r="L74" s="316"/>
    </row>
    <row r="75" spans="1:12" x14ac:dyDescent="0.3">
      <c r="A75" s="316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</row>
    <row r="76" spans="1:12" x14ac:dyDescent="0.3">
      <c r="A76" s="316"/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</row>
    <row r="77" spans="1:12" x14ac:dyDescent="0.3">
      <c r="A77" s="316"/>
      <c r="B77" s="316"/>
      <c r="C77" s="316"/>
      <c r="D77" s="316"/>
      <c r="E77" s="316"/>
      <c r="F77" s="316"/>
      <c r="G77" s="316"/>
      <c r="H77" s="316"/>
      <c r="I77" s="316"/>
      <c r="J77" s="316"/>
      <c r="K77" s="316"/>
      <c r="L77" s="316"/>
    </row>
    <row r="78" spans="1:12" x14ac:dyDescent="0.3">
      <c r="A78" s="316"/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</row>
    <row r="79" spans="1:12" x14ac:dyDescent="0.3">
      <c r="A79" s="316"/>
      <c r="B79" s="316"/>
      <c r="C79" s="316"/>
      <c r="D79" s="316"/>
      <c r="E79" s="316"/>
      <c r="F79" s="316"/>
      <c r="G79" s="316"/>
      <c r="H79" s="316"/>
      <c r="I79" s="316"/>
      <c r="J79" s="316"/>
      <c r="K79" s="316"/>
      <c r="L79" s="316"/>
    </row>
    <row r="80" spans="1:12" x14ac:dyDescent="0.3">
      <c r="A80" s="316"/>
      <c r="B80" s="316"/>
      <c r="C80" s="316"/>
      <c r="D80" s="316"/>
      <c r="E80" s="316"/>
      <c r="F80" s="316"/>
      <c r="G80" s="316"/>
      <c r="H80" s="316"/>
      <c r="I80" s="316"/>
      <c r="J80" s="316"/>
      <c r="K80" s="316"/>
      <c r="L80" s="316"/>
    </row>
  </sheetData>
  <pageMargins left="0.25" right="0.25" top="0.33333333333333331" bottom="0.33333333333333331" header="0.3" footer="0.3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Cover</vt:lpstr>
      <vt:lpstr>Summary</vt:lpstr>
      <vt:lpstr>Assumptions</vt:lpstr>
      <vt:lpstr>Pro Forma BS</vt:lpstr>
      <vt:lpstr>Accretion Dilution</vt:lpstr>
      <vt:lpstr>Shares</vt:lpstr>
      <vt:lpstr>Data Sources</vt:lpstr>
      <vt:lpstr>'Accretion Dilution'!Print_Area</vt:lpstr>
      <vt:lpstr>Assumptions!Print_Area</vt:lpstr>
      <vt:lpstr>Cover!Print_Area</vt:lpstr>
      <vt:lpstr>'Data Sources'!Print_Area</vt:lpstr>
      <vt:lpstr>'Pro Forma BS'!Print_Area</vt:lpstr>
      <vt:lpstr>Shares!Print_Area</vt:lpstr>
      <vt:lpstr>Summary!Print_Area</vt:lpstr>
      <vt:lpstr>'Accretion Dilution'!Print_Titles</vt:lpstr>
      <vt:lpstr>Assumptions!Print_Titles</vt:lpstr>
      <vt:lpstr>'Pro Forma BS'!Print_Titles</vt:lpstr>
      <vt:lpstr>Shares!Print_Titles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cp:lastPrinted>2026-09-03T18:00:19Z</cp:lastPrinted>
  <dcterms:created xsi:type="dcterms:W3CDTF">2026-08-20T13:18:15Z</dcterms:created>
  <dcterms:modified xsi:type="dcterms:W3CDTF">2026-09-09T20:57:54Z</dcterms:modified>
</cp:coreProperties>
</file>